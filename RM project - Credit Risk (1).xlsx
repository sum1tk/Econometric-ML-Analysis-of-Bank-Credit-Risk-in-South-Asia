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kistan - Sumit" sheetId="1" r:id="rId4"/>
    <sheet state="visible" name="India - Harsh" sheetId="2" r:id="rId5"/>
    <sheet state="visible" name="Sri Lanka - sidhesh" sheetId="3" r:id="rId6"/>
    <sheet state="visible" name=" Bangladesh - Rudra" sheetId="4" r:id="rId7"/>
    <sheet state="visible" name="Nepal, Maldivis, Bhutan - Kshit" sheetId="5" r:id="rId8"/>
    <sheet state="visible" name="Data Card" sheetId="6" r:id="rId9"/>
    <sheet state="visible" name="Sheet9" sheetId="7" r:id="rId10"/>
  </sheets>
  <definedNames/>
  <calcPr/>
</workbook>
</file>

<file path=xl/sharedStrings.xml><?xml version="1.0" encoding="utf-8"?>
<sst xmlns="http://schemas.openxmlformats.org/spreadsheetml/2006/main" count="2343" uniqueCount="136">
  <si>
    <t>Country</t>
  </si>
  <si>
    <t>Bank</t>
  </si>
  <si>
    <t>Year</t>
  </si>
  <si>
    <t>NPL Ratio</t>
  </si>
  <si>
    <t>Corruption Index</t>
  </si>
  <si>
    <t>GDP Growth</t>
  </si>
  <si>
    <t>Inflation (INF)</t>
  </si>
  <si>
    <t>Population Growth</t>
  </si>
  <si>
    <t>Bank Size (SIZE)</t>
  </si>
  <si>
    <t>ROA</t>
  </si>
  <si>
    <t>ROE</t>
  </si>
  <si>
    <t>Age</t>
  </si>
  <si>
    <t>NPL_lag</t>
  </si>
  <si>
    <t>Bank_Type</t>
  </si>
  <si>
    <t>COC</t>
  </si>
  <si>
    <t>Pakistan</t>
  </si>
  <si>
    <t>National Bank of Pakistan (NBP)</t>
  </si>
  <si>
    <t>Public</t>
  </si>
  <si>
    <t>United Bank Limited</t>
  </si>
  <si>
    <t>Private</t>
  </si>
  <si>
    <t xml:space="preserve">Habib Bank Limited </t>
  </si>
  <si>
    <t>MCB Bank Limited</t>
  </si>
  <si>
    <t>Allied Bank Limited</t>
  </si>
  <si>
    <t>Bank Alfalah Limited</t>
  </si>
  <si>
    <t>Meezan Bank Limited</t>
  </si>
  <si>
    <t>Askari Bank Limited</t>
  </si>
  <si>
    <t>Faysal Bank Limited</t>
  </si>
  <si>
    <t>Bank of Punjab</t>
  </si>
  <si>
    <t>Soneri Bank Limited</t>
  </si>
  <si>
    <t>Standard Chartered Bank (Pakistan)</t>
  </si>
  <si>
    <t>JS Bank Limited</t>
  </si>
  <si>
    <t>BankIslami</t>
  </si>
  <si>
    <t>India</t>
  </si>
  <si>
    <t>SBI</t>
  </si>
  <si>
    <t>HDFC</t>
  </si>
  <si>
    <t>ICICI</t>
  </si>
  <si>
    <t>Punjab National Bank</t>
  </si>
  <si>
    <t>Bank of Baroda</t>
  </si>
  <si>
    <t>Canara Bank</t>
  </si>
  <si>
    <t>Axis Bank</t>
  </si>
  <si>
    <t>Union Bank of India</t>
  </si>
  <si>
    <t>Bank of India</t>
  </si>
  <si>
    <t>Indian Bank</t>
  </si>
  <si>
    <t>Kotak Mahindra Bank</t>
  </si>
  <si>
    <t>IndusInd Bank</t>
  </si>
  <si>
    <t>Yes Bank</t>
  </si>
  <si>
    <t>Central Bank of India</t>
  </si>
  <si>
    <t>Sri Lanka</t>
  </si>
  <si>
    <t xml:space="preserve">Bank of Ceylon </t>
  </si>
  <si>
    <t>Hatton national bank</t>
  </si>
  <si>
    <t>private</t>
  </si>
  <si>
    <t>National Trust bank</t>
  </si>
  <si>
    <t>DFCC Bank</t>
  </si>
  <si>
    <t>Commercial Bank of Ceylon PLC</t>
  </si>
  <si>
    <t>Seylan bank plc</t>
  </si>
  <si>
    <t>Sampath Bank PLC</t>
  </si>
  <si>
    <t>Amana Bank PLC</t>
  </si>
  <si>
    <t>people's bank</t>
  </si>
  <si>
    <t>Cargills Bank</t>
  </si>
  <si>
    <t>Union Bank of Colombo</t>
  </si>
  <si>
    <t>Pan Asia Bank</t>
  </si>
  <si>
    <t>Bangladesh</t>
  </si>
  <si>
    <t>City Bank PLC</t>
  </si>
  <si>
    <t>United Commercial Bank PLC (UCB)</t>
  </si>
  <si>
    <t>Islami Bank Bangladesh Limited (IBBL)</t>
  </si>
  <si>
    <t>Dutch-Bangla Bank PLC</t>
  </si>
  <si>
    <t>Sonali Bank PLC</t>
  </si>
  <si>
    <t>Agrani Bank PLC</t>
  </si>
  <si>
    <t>Bank Asia Ltd</t>
  </si>
  <si>
    <t>Standard Chartered Bank Bangladesh</t>
  </si>
  <si>
    <t>Dhaka Bank PLC</t>
  </si>
  <si>
    <t>Eastern Bank PLC.</t>
  </si>
  <si>
    <t>Jamuna Bank PLC</t>
  </si>
  <si>
    <t>ONE Bank PLC</t>
  </si>
  <si>
    <t xml:space="preserve">Mutual Trust Bank Limited </t>
  </si>
  <si>
    <t>Nepal</t>
  </si>
  <si>
    <t>Global IME Bank Limited</t>
  </si>
  <si>
    <t>Nepal Investment Mega Bank Limited</t>
  </si>
  <si>
    <t>Rastriya Banijya Bank Limited</t>
  </si>
  <si>
    <t>Nabil Bank Limited</t>
  </si>
  <si>
    <t>Himalayan Bank Limited</t>
  </si>
  <si>
    <t>NIC Asia Bank Limited</t>
  </si>
  <si>
    <t>Bhutan</t>
  </si>
  <si>
    <t>Bank of Bhutan</t>
  </si>
  <si>
    <t xml:space="preserve">Bhutan National Bank </t>
  </si>
  <si>
    <t>Druk PNB Bank</t>
  </si>
  <si>
    <t>Bhutan Development Bank</t>
  </si>
  <si>
    <t>Maldives</t>
  </si>
  <si>
    <t>Bank Of Maldives</t>
  </si>
  <si>
    <t>Maldives Islamic Bank</t>
  </si>
  <si>
    <t>Mauritius Commercial Bank (Maldives) Pvt. Ltd. (MCB)</t>
  </si>
  <si>
    <t>Housing Development Finance Corporation (Maldives)</t>
  </si>
  <si>
    <t>Variable</t>
  </si>
  <si>
    <t>Measurement</t>
  </si>
  <si>
    <t>Primary Free Source for Pakistan</t>
  </si>
  <si>
    <t>Non-Performing Loans / Total Loans (%)</t>
  </si>
  <si>
    <t>This is often found in bank annual reports or central bank publications.</t>
  </si>
  <si>
    <t>100 - CPI_Score</t>
  </si>
  <si>
    <t>Transparency International</t>
  </si>
  <si>
    <t>Annual % Growth</t>
  </si>
  <si>
    <t>World Bank Open Data or SBP</t>
  </si>
  <si>
    <t>Consumer Price Index (% change)</t>
  </si>
  <si>
    <t>International Monetary Fund (IMF)</t>
  </si>
  <si>
    <t>World Bank Open Data</t>
  </si>
  <si>
    <t>Ln(Total Assets)</t>
  </si>
  <si>
    <t>Net Income / Total Assets</t>
  </si>
  <si>
    <t>Net Income / Shareholders' Equity</t>
  </si>
  <si>
    <t>Current Year - Year of Establishment</t>
  </si>
  <si>
    <t>Bank Wikipedia pages or official "About Us" sections</t>
  </si>
  <si>
    <t>Previous year's NPL ratio</t>
  </si>
  <si>
    <t>Calculated from the collected NPL data</t>
  </si>
  <si>
    <t>Private or Public</t>
  </si>
  <si>
    <t>Variable Category</t>
  </si>
  <si>
    <t>Variable Name</t>
  </si>
  <si>
    <t>Measurement (How to obtain it for free)</t>
  </si>
  <si>
    <t>Source</t>
  </si>
  <si>
    <t>Target Variable</t>
  </si>
  <si>
    <t xml:space="preserve">Non-Performing Loans / Total Loans (%). </t>
  </si>
  <si>
    <t>Bank Annual Report</t>
  </si>
  <si>
    <t>Key Predictor</t>
  </si>
  <si>
    <t>100 - CPI Score.</t>
  </si>
  <si>
    <t>Transperancy Org</t>
  </si>
  <si>
    <t>Macroeconomic Variables</t>
  </si>
  <si>
    <t>Annual GDP Growth (%).</t>
  </si>
  <si>
    <t>Consumer Price Index, annual % change.</t>
  </si>
  <si>
    <t>Population Growth (POP)</t>
  </si>
  <si>
    <t>Annual population growth (%).</t>
  </si>
  <si>
    <t>Bank-Specific Variables</t>
  </si>
  <si>
    <t>Natural Logarithm of Total Assets.</t>
  </si>
  <si>
    <t>Return on Avg. Assets (ROAA)</t>
  </si>
  <si>
    <t>Net Income / Average Total Assets.</t>
  </si>
  <si>
    <t>Return on Avg. Equity (ROAE)</t>
  </si>
  <si>
    <t>Net Income / Average Shareholders' Equity.</t>
  </si>
  <si>
    <t>Current Year - Year of Establishment.</t>
  </si>
  <si>
    <t>Bank Incorporation</t>
  </si>
  <si>
    <t>The previous year's NPL ratio.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</si>
</sst>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sz val="10.0"/>
      <color theme="1"/>
      <name val="Arial"/>
      <scheme val="minor"/>
    </font>
    <font>
      <sz val="10.0"/>
      <color rgb="FF212529"/>
      <name val="Arial"/>
      <scheme val="minor"/>
    </font>
    <font>
      <sz val="9.0"/>
      <color theme="1"/>
      <name val="&quot;Google Sans&quot;"/>
    </font>
    <font>
      <sz val="11.0"/>
      <color rgb="FF202122"/>
      <name val="Arial"/>
      <scheme val="minor"/>
    </font>
    <font>
      <sz val="10.0"/>
      <color rgb="FF000000"/>
      <name val="&quot;Google Sans&quot;"/>
    </font>
    <font>
      <sz val="11.0"/>
      <color theme="1"/>
      <name val="Arial"/>
    </font>
    <font>
      <sz val="11.0"/>
      <color theme="1"/>
      <name val="Quote-cjk-patch"/>
    </font>
    <font>
      <sz val="10.0"/>
      <color theme="1"/>
      <name val="&quot;Google Sans&quot;"/>
    </font>
    <font>
      <sz val="10.0"/>
      <color theme="1"/>
      <name val="Quote-cjk-patch"/>
    </font>
    <font>
      <sz val="10.0"/>
      <color theme="1"/>
      <name val="Arial"/>
    </font>
    <font>
      <sz val="10.0"/>
      <color rgb="FF000000"/>
      <name val="&quot;Segoe UI&quot;"/>
    </font>
    <font>
      <sz val="10.0"/>
      <color rgb="FF0F1115"/>
      <name val="&quot;Segoe UI&quot;"/>
    </font>
    <font>
      <sz val="10.0"/>
      <color rgb="FF0F1115"/>
      <name val="Arial"/>
    </font>
    <font>
      <color rgb="FF0F1115"/>
      <name val="Segoe UI"/>
    </font>
    <font>
      <sz val="10.0"/>
      <color rgb="FF0F1115"/>
      <name val="Segoe UI"/>
    </font>
    <font>
      <sz val="12.0"/>
      <color theme="1"/>
      <name val="Arial"/>
      <scheme val="minor"/>
    </font>
    <font>
      <sz val="10.0"/>
      <color rgb="FF0F1115"/>
      <name val="Quote-cjk-patch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5">
    <border/>
    <border>
      <top style="thin">
        <color rgb="FFDDDDDD"/>
      </top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Font="1"/>
    <xf borderId="0" fillId="0" fontId="0" numFmtId="0" xfId="0" applyAlignment="1" applyFont="1">
      <alignment horizontal="right" readingOrder="0" shrinkToFit="0" vertical="bottom" wrapText="0"/>
    </xf>
    <xf borderId="1" fillId="2" fontId="5" numFmtId="0" xfId="0" applyAlignment="1" applyBorder="1" applyFill="1" applyFont="1">
      <alignment horizontal="center" readingOrder="0" vertical="top"/>
    </xf>
    <xf borderId="0" fillId="3" fontId="6" numFmtId="0" xfId="0" applyAlignment="1" applyFill="1" applyFont="1">
      <alignment horizontal="center"/>
    </xf>
    <xf borderId="0" fillId="3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/>
    </xf>
    <xf borderId="0" fillId="3" fontId="16" numFmtId="0" xfId="0" applyAlignment="1" applyFont="1">
      <alignment horizontal="right" readingOrder="0"/>
    </xf>
    <xf borderId="0" fillId="3" fontId="17" numFmtId="0" xfId="0" applyAlignment="1" applyFont="1">
      <alignment horizontal="right" readingOrder="0"/>
    </xf>
    <xf borderId="0" fillId="3" fontId="18" numFmtId="0" xfId="0" applyAlignment="1" applyFont="1">
      <alignment horizontal="right" vertical="bottom"/>
    </xf>
    <xf borderId="0" fillId="3" fontId="19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3" fontId="17" numFmtId="0" xfId="0" applyAlignment="1" applyFont="1">
      <alignment horizontal="left" readingOrder="0"/>
    </xf>
    <xf borderId="0" fillId="3" fontId="21" numFmtId="0" xfId="0" applyAlignment="1" applyFont="1">
      <alignment horizontal="left" readingOrder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0" fillId="0" fontId="22" numFmtId="0" xfId="0" applyAlignment="1" applyFont="1">
      <alignment readingOrder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ta Card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1" displayName="Table1" name="Table1" id="1">
  <tableColumns count="3">
    <tableColumn name="Column1" id="1"/>
    <tableColumn name="Column2" id="2"/>
    <tableColumn name="Column3" id="3"/>
  </tableColumns>
  <tableStyleInfo name="Data C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5" max="5" width="14.13"/>
    <col customWidth="1" min="8" max="8" width="14.75"/>
    <col customWidth="1" min="9" max="9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2014.0</v>
      </c>
      <c r="D2" s="1">
        <f>100*(121679939/731980299)</f>
        <v>16.62338989</v>
      </c>
      <c r="E2" s="2">
        <f>100-29</f>
        <v>71</v>
      </c>
      <c r="F2" s="3">
        <v>4.116428</v>
      </c>
      <c r="G2" s="1">
        <v>7.189384028</v>
      </c>
      <c r="H2" s="3">
        <v>1.500324</v>
      </c>
      <c r="I2" s="1">
        <f>ln(15422087000)</f>
        <v>23.45906654</v>
      </c>
      <c r="J2" s="1">
        <v>1.03</v>
      </c>
      <c r="K2" s="1">
        <v>14.6</v>
      </c>
      <c r="L2" s="1">
        <v>65.0</v>
      </c>
      <c r="M2" s="1">
        <v>16.33</v>
      </c>
      <c r="N2" s="1" t="s">
        <v>17</v>
      </c>
      <c r="O2" s="3">
        <v>23.07692</v>
      </c>
    </row>
    <row r="3">
      <c r="A3" s="1" t="s">
        <v>15</v>
      </c>
      <c r="B3" s="1" t="s">
        <v>16</v>
      </c>
      <c r="C3" s="1">
        <v>2015.0</v>
      </c>
      <c r="D3" s="2">
        <f>(128276870 / 694384994) * 100</f>
        <v>18.47345077</v>
      </c>
      <c r="E3" s="2">
        <f>100-30</f>
        <v>70</v>
      </c>
      <c r="F3" s="3">
        <v>4.217942</v>
      </c>
      <c r="G3" s="1">
        <v>2.529328173</v>
      </c>
      <c r="H3" s="3">
        <v>1.402501</v>
      </c>
      <c r="I3" s="2">
        <f>LN(16323541000)</f>
        <v>23.51587414</v>
      </c>
      <c r="J3" s="2">
        <f>(20076583 / 1711874168) * 100</f>
        <v>1.172783805</v>
      </c>
      <c r="K3" s="2">
        <f>(20076583 / 119923814) * 100</f>
        <v>16.74111449</v>
      </c>
      <c r="L3" s="1">
        <v>66.0</v>
      </c>
      <c r="M3" s="1">
        <f>100*(121679939/731980299)</f>
        <v>16.62338989</v>
      </c>
      <c r="N3" s="1" t="s">
        <v>17</v>
      </c>
      <c r="O3" s="3">
        <v>22.38095</v>
      </c>
    </row>
    <row r="4">
      <c r="A4" s="1" t="s">
        <v>15</v>
      </c>
      <c r="B4" s="1" t="s">
        <v>16</v>
      </c>
      <c r="C4" s="1">
        <v>2016.0</v>
      </c>
      <c r="D4" s="2">
        <f>100*(120561851000/783555074000)</f>
        <v>15.38651908</v>
      </c>
      <c r="E4" s="2">
        <f t="shared" ref="E4:E5" si="1">100-32</f>
        <v>68</v>
      </c>
      <c r="F4" s="3">
        <v>6.573838</v>
      </c>
      <c r="G4" s="1">
        <v>3.765119164</v>
      </c>
      <c r="H4" s="3">
        <v>1.302164</v>
      </c>
      <c r="I4" s="2">
        <f> LN(14466567000)</f>
        <v>23.3951061</v>
      </c>
      <c r="J4" s="2">
        <f>(23087260/1846645365)*100</f>
        <v>1.250227057</v>
      </c>
      <c r="K4" s="2">
        <f>(23087260/121520778)*100</f>
        <v>18.99861109</v>
      </c>
      <c r="L4" s="1">
        <v>67.0</v>
      </c>
      <c r="M4" s="2">
        <f>(128276870 / 694384994) * 100</f>
        <v>18.47345077</v>
      </c>
      <c r="N4" s="1" t="s">
        <v>17</v>
      </c>
      <c r="O4" s="3">
        <v>17.61905</v>
      </c>
    </row>
    <row r="5">
      <c r="A5" s="1" t="s">
        <v>15</v>
      </c>
      <c r="B5" s="1" t="s">
        <v>16</v>
      </c>
      <c r="C5" s="1">
        <v>2017.0</v>
      </c>
      <c r="D5" s="1">
        <v>14.1</v>
      </c>
      <c r="E5" s="2">
        <f t="shared" si="1"/>
        <v>68</v>
      </c>
      <c r="F5" s="3">
        <v>4.432626</v>
      </c>
      <c r="G5" s="1">
        <v>4.08537368</v>
      </c>
      <c r="H5" s="3">
        <v>1.4141</v>
      </c>
      <c r="I5" s="2">
        <f>LN(18041816000)</f>
        <v>23.61595801</v>
      </c>
      <c r="J5" s="1">
        <v>1.06</v>
      </c>
      <c r="K5" s="1">
        <v>18.74</v>
      </c>
      <c r="L5" s="1">
        <v>68.0</v>
      </c>
      <c r="M5" s="2">
        <f t="shared" ref="M5:M12" si="2">D4</f>
        <v>15.38651908</v>
      </c>
      <c r="N5" s="1" t="s">
        <v>17</v>
      </c>
      <c r="O5" s="3">
        <v>21.90476</v>
      </c>
    </row>
    <row r="6">
      <c r="A6" s="1" t="s">
        <v>15</v>
      </c>
      <c r="B6" s="1" t="s">
        <v>16</v>
      </c>
      <c r="C6" s="1">
        <v>2018.0</v>
      </c>
      <c r="D6" s="1">
        <v>12.59</v>
      </c>
      <c r="E6" s="2">
        <f>100-33</f>
        <v>67</v>
      </c>
      <c r="F6" s="3">
        <v>6.151703</v>
      </c>
      <c r="G6" s="1">
        <v>5.078057259</v>
      </c>
      <c r="H6" s="3">
        <v>1.623715</v>
      </c>
      <c r="I6" s="2">
        <f>LN(20153592000)</f>
        <v>23.72664837</v>
      </c>
      <c r="J6" s="1">
        <v>0.8</v>
      </c>
      <c r="K6" s="1">
        <v>14.7</v>
      </c>
      <c r="L6" s="1">
        <v>69.0</v>
      </c>
      <c r="M6" s="2">
        <f t="shared" si="2"/>
        <v>14.1</v>
      </c>
      <c r="N6" s="1" t="s">
        <v>17</v>
      </c>
      <c r="O6" s="3">
        <v>24.28572</v>
      </c>
    </row>
    <row r="7">
      <c r="A7" s="1" t="s">
        <v>15</v>
      </c>
      <c r="B7" s="1" t="s">
        <v>16</v>
      </c>
      <c r="C7" s="1">
        <v>2019.0</v>
      </c>
      <c r="D7" s="1">
        <v>12.92</v>
      </c>
      <c r="E7" s="2">
        <f>100-32</f>
        <v>68</v>
      </c>
      <c r="F7" s="3">
        <v>2.497637</v>
      </c>
      <c r="G7" s="1">
        <v>10.5783618</v>
      </c>
      <c r="H7" s="3">
        <v>1.691871</v>
      </c>
      <c r="I7" s="2">
        <f>LN(19597536000)</f>
        <v>23.69866968</v>
      </c>
      <c r="J7" s="1">
        <v>0.53</v>
      </c>
      <c r="K7" s="1">
        <v>10.2</v>
      </c>
      <c r="L7" s="1">
        <v>70.0</v>
      </c>
      <c r="M7" s="2">
        <f t="shared" si="2"/>
        <v>12.59</v>
      </c>
      <c r="N7" s="1" t="s">
        <v>17</v>
      </c>
      <c r="O7" s="3">
        <v>20.95238</v>
      </c>
    </row>
    <row r="8">
      <c r="A8" s="1" t="s">
        <v>15</v>
      </c>
      <c r="B8" s="1" t="s">
        <v>16</v>
      </c>
      <c r="C8" s="1">
        <v>2020.0</v>
      </c>
      <c r="D8" s="1">
        <v>14.77</v>
      </c>
      <c r="E8" s="1">
        <f>100-31</f>
        <v>69</v>
      </c>
      <c r="F8" s="3">
        <v>-1.27409</v>
      </c>
      <c r="G8" s="1">
        <v>9.739993139</v>
      </c>
      <c r="H8" s="3">
        <v>1.803751</v>
      </c>
      <c r="I8" s="2">
        <f>LN(18877098000)</f>
        <v>23.66121528</v>
      </c>
      <c r="J8" s="1">
        <v>1.0</v>
      </c>
      <c r="K8" s="1">
        <v>17.2</v>
      </c>
      <c r="L8" s="1">
        <v>71.0</v>
      </c>
      <c r="M8" s="2">
        <f t="shared" si="2"/>
        <v>12.92</v>
      </c>
      <c r="N8" s="1" t="s">
        <v>17</v>
      </c>
      <c r="O8" s="3">
        <v>21.90476</v>
      </c>
    </row>
    <row r="9">
      <c r="A9" s="1" t="s">
        <v>15</v>
      </c>
      <c r="B9" s="1" t="s">
        <v>16</v>
      </c>
      <c r="C9" s="1">
        <v>2021.0</v>
      </c>
      <c r="D9" s="1">
        <v>15.17</v>
      </c>
      <c r="E9" s="2">
        <f>100-28</f>
        <v>72</v>
      </c>
      <c r="F9" s="3">
        <v>6.513886</v>
      </c>
      <c r="G9" s="1">
        <v>9.496210561</v>
      </c>
      <c r="H9" s="3">
        <v>1.886778</v>
      </c>
      <c r="I9" s="2">
        <f>LN(16988339000)</f>
        <v>23.555793</v>
      </c>
      <c r="J9" s="1">
        <v>0.82</v>
      </c>
      <c r="K9" s="1">
        <v>13.48</v>
      </c>
      <c r="L9" s="1">
        <v>72.0</v>
      </c>
      <c r="M9" s="2">
        <f t="shared" si="2"/>
        <v>14.77</v>
      </c>
      <c r="N9" s="1" t="s">
        <v>17</v>
      </c>
      <c r="O9" s="3">
        <v>23.33333</v>
      </c>
    </row>
    <row r="10">
      <c r="A10" s="1" t="s">
        <v>15</v>
      </c>
      <c r="B10" s="1" t="s">
        <v>16</v>
      </c>
      <c r="C10" s="1">
        <v>2022.0</v>
      </c>
      <c r="D10" s="1">
        <v>14.27</v>
      </c>
      <c r="E10" s="2">
        <f>100-27</f>
        <v>73</v>
      </c>
      <c r="F10" s="3">
        <v>4.778107</v>
      </c>
      <c r="G10" s="1">
        <v>19.87385996</v>
      </c>
      <c r="H10" s="3">
        <v>1.747997</v>
      </c>
      <c r="I10" s="2">
        <f>LN(23143592000)</f>
        <v>23.86498378</v>
      </c>
      <c r="J10" s="1">
        <v>0.67</v>
      </c>
      <c r="K10" s="1">
        <v>12.68</v>
      </c>
      <c r="L10" s="1">
        <v>73.0</v>
      </c>
      <c r="M10" s="2">
        <f t="shared" si="2"/>
        <v>15.17</v>
      </c>
      <c r="N10" s="1" t="s">
        <v>17</v>
      </c>
      <c r="O10" s="3">
        <v>22.64151</v>
      </c>
    </row>
    <row r="11">
      <c r="A11" s="1" t="s">
        <v>15</v>
      </c>
      <c r="B11" s="1" t="s">
        <v>16</v>
      </c>
      <c r="C11" s="1">
        <v>2023.0</v>
      </c>
      <c r="D11" s="1">
        <v>13.53</v>
      </c>
      <c r="E11" s="2">
        <f>100-29</f>
        <v>71</v>
      </c>
      <c r="F11" s="3">
        <v>-0.03984</v>
      </c>
      <c r="G11" s="1">
        <v>30.76812807</v>
      </c>
      <c r="H11" s="3">
        <v>1.548805</v>
      </c>
      <c r="I11" s="2">
        <f>LN(23883351000)</f>
        <v>23.89644744</v>
      </c>
      <c r="J11" s="1">
        <v>0.87</v>
      </c>
      <c r="K11" s="1">
        <v>17.97</v>
      </c>
      <c r="L11" s="1">
        <v>74.0</v>
      </c>
      <c r="M11" s="2">
        <f t="shared" si="2"/>
        <v>14.27</v>
      </c>
      <c r="N11" s="1" t="s">
        <v>17</v>
      </c>
      <c r="O11" s="3">
        <v>18.86792</v>
      </c>
    </row>
    <row r="12">
      <c r="A12" s="1" t="s">
        <v>15</v>
      </c>
      <c r="B12" s="1" t="s">
        <v>16</v>
      </c>
      <c r="C12" s="1">
        <v>2024.0</v>
      </c>
      <c r="D12" s="1">
        <v>16.1</v>
      </c>
      <c r="E12" s="2">
        <f>100-27</f>
        <v>73</v>
      </c>
      <c r="F12" s="3">
        <v>3.234784</v>
      </c>
      <c r="G12" s="1">
        <v>12.63253185</v>
      </c>
      <c r="H12" s="3">
        <v>1.509599</v>
      </c>
      <c r="I12" s="2">
        <f>LN(24211373000)</f>
        <v>23.91008832</v>
      </c>
      <c r="J12" s="1">
        <v>0.4</v>
      </c>
      <c r="K12" s="1">
        <v>8.17</v>
      </c>
      <c r="L12" s="1">
        <v>75.0</v>
      </c>
      <c r="M12" s="2">
        <f t="shared" si="2"/>
        <v>13.53</v>
      </c>
      <c r="N12" s="1" t="s">
        <v>17</v>
      </c>
    </row>
    <row r="13">
      <c r="A13" s="1" t="s">
        <v>15</v>
      </c>
      <c r="B13" s="1" t="s">
        <v>18</v>
      </c>
      <c r="C13" s="1">
        <v>2014.0</v>
      </c>
      <c r="D13" s="1">
        <v>11.2</v>
      </c>
      <c r="E13" s="2">
        <f>100-29</f>
        <v>71</v>
      </c>
      <c r="F13" s="3">
        <v>4.116428</v>
      </c>
      <c r="G13" s="1">
        <v>7.189384028</v>
      </c>
      <c r="H13" s="3">
        <v>1.500324</v>
      </c>
      <c r="I13" s="1">
        <v>23.16313</v>
      </c>
      <c r="J13" s="1">
        <v>2.1</v>
      </c>
      <c r="K13" s="1">
        <v>23.9</v>
      </c>
      <c r="L13" s="1">
        <v>55.0</v>
      </c>
      <c r="M13" s="1">
        <v>12.1</v>
      </c>
      <c r="N13" s="1" t="s">
        <v>19</v>
      </c>
      <c r="O13" s="3">
        <v>23.07692</v>
      </c>
    </row>
    <row r="14">
      <c r="A14" s="1" t="s">
        <v>15</v>
      </c>
      <c r="B14" s="1" t="s">
        <v>18</v>
      </c>
      <c r="C14" s="1">
        <v>2015.0</v>
      </c>
      <c r="D14" s="1">
        <v>9.4</v>
      </c>
      <c r="E14" s="2">
        <f>100-30</f>
        <v>70</v>
      </c>
      <c r="F14" s="3">
        <v>4.217942</v>
      </c>
      <c r="G14" s="1">
        <v>2.529328173</v>
      </c>
      <c r="H14" s="3">
        <v>1.402501</v>
      </c>
      <c r="I14" s="1">
        <v>23.35435</v>
      </c>
      <c r="J14" s="1">
        <v>2.0</v>
      </c>
      <c r="K14" s="1">
        <v>25.7</v>
      </c>
      <c r="L14" s="1">
        <v>56.0</v>
      </c>
      <c r="M14" s="1">
        <v>11.2</v>
      </c>
      <c r="N14" s="1" t="s">
        <v>19</v>
      </c>
      <c r="O14" s="3">
        <v>22.38095</v>
      </c>
    </row>
    <row r="15">
      <c r="A15" s="1" t="s">
        <v>15</v>
      </c>
      <c r="B15" s="1" t="s">
        <v>18</v>
      </c>
      <c r="C15" s="1">
        <v>2016.0</v>
      </c>
      <c r="D15" s="1">
        <v>8.0</v>
      </c>
      <c r="E15" s="2">
        <f t="shared" ref="E15:E16" si="3">100-32</f>
        <v>68</v>
      </c>
      <c r="F15" s="3">
        <v>6.573838</v>
      </c>
      <c r="G15" s="1">
        <v>3.765119164</v>
      </c>
      <c r="H15" s="3">
        <v>1.302164</v>
      </c>
      <c r="I15" s="1">
        <v>23.47853</v>
      </c>
      <c r="J15" s="1">
        <v>1.8</v>
      </c>
      <c r="K15" s="1">
        <v>24.9</v>
      </c>
      <c r="L15" s="1">
        <v>57.0</v>
      </c>
      <c r="M15" s="1">
        <v>9.4</v>
      </c>
      <c r="N15" s="1" t="s">
        <v>19</v>
      </c>
      <c r="O15" s="3">
        <v>17.61905</v>
      </c>
    </row>
    <row r="16">
      <c r="A16" s="1" t="s">
        <v>15</v>
      </c>
      <c r="B16" s="1" t="s">
        <v>18</v>
      </c>
      <c r="C16" s="1">
        <v>2017.0</v>
      </c>
      <c r="D16" s="1">
        <v>7.8</v>
      </c>
      <c r="E16" s="2">
        <f t="shared" si="3"/>
        <v>68</v>
      </c>
      <c r="F16" s="3">
        <v>4.432626</v>
      </c>
      <c r="G16" s="1">
        <v>4.08537368</v>
      </c>
      <c r="H16" s="3">
        <v>1.4141</v>
      </c>
      <c r="I16" s="1">
        <v>23.70938</v>
      </c>
      <c r="J16" s="1">
        <v>1.4</v>
      </c>
      <c r="K16" s="1">
        <v>20.6</v>
      </c>
      <c r="L16" s="1">
        <v>58.0</v>
      </c>
      <c r="M16" s="1">
        <v>8.0</v>
      </c>
      <c r="N16" s="1" t="s">
        <v>19</v>
      </c>
      <c r="O16" s="3">
        <v>21.90476</v>
      </c>
    </row>
    <row r="17">
      <c r="A17" s="1" t="s">
        <v>15</v>
      </c>
      <c r="B17" s="1" t="s">
        <v>18</v>
      </c>
      <c r="C17" s="1">
        <v>2018.0</v>
      </c>
      <c r="D17" s="1">
        <v>8.8</v>
      </c>
      <c r="E17" s="2">
        <f>100-33</f>
        <v>67</v>
      </c>
      <c r="F17" s="3">
        <v>6.151703</v>
      </c>
      <c r="G17" s="1">
        <v>5.078057259</v>
      </c>
      <c r="H17" s="3">
        <v>1.623715</v>
      </c>
      <c r="I17" s="1">
        <v>23.5063</v>
      </c>
      <c r="J17" s="1">
        <v>0.8</v>
      </c>
      <c r="K17" s="1">
        <v>11.6</v>
      </c>
      <c r="L17" s="1">
        <v>59.0</v>
      </c>
      <c r="M17" s="1">
        <v>7.8</v>
      </c>
      <c r="N17" s="1" t="s">
        <v>19</v>
      </c>
      <c r="O17" s="3">
        <v>24.28572</v>
      </c>
    </row>
    <row r="18">
      <c r="A18" s="1" t="s">
        <v>15</v>
      </c>
      <c r="B18" s="1" t="s">
        <v>18</v>
      </c>
      <c r="C18" s="1">
        <v>2019.0</v>
      </c>
      <c r="D18" s="1">
        <v>11.0</v>
      </c>
      <c r="E18" s="2">
        <f>100-32</f>
        <v>68</v>
      </c>
      <c r="F18" s="3">
        <v>2.497637</v>
      </c>
      <c r="G18" s="1">
        <v>10.5783618</v>
      </c>
      <c r="H18" s="3">
        <v>1.691871</v>
      </c>
      <c r="I18" s="1">
        <v>23.2651</v>
      </c>
      <c r="J18" s="1">
        <v>1.0</v>
      </c>
      <c r="K18" s="1">
        <v>13.8</v>
      </c>
      <c r="L18" s="1">
        <v>60.0</v>
      </c>
      <c r="M18" s="1">
        <v>8.8</v>
      </c>
      <c r="N18" s="1" t="s">
        <v>19</v>
      </c>
      <c r="O18" s="3">
        <v>20.95238</v>
      </c>
    </row>
    <row r="19">
      <c r="A19" s="1" t="s">
        <v>15</v>
      </c>
      <c r="B19" s="1" t="s">
        <v>18</v>
      </c>
      <c r="C19" s="1">
        <v>2020.0</v>
      </c>
      <c r="D19" s="1">
        <v>13.7</v>
      </c>
      <c r="E19" s="1">
        <f>100-31</f>
        <v>69</v>
      </c>
      <c r="F19" s="3">
        <v>-1.27409</v>
      </c>
      <c r="G19" s="1">
        <v>9.739993139</v>
      </c>
      <c r="H19" s="3">
        <v>1.803751</v>
      </c>
      <c r="I19" s="1">
        <v>23.28502</v>
      </c>
      <c r="J19" s="1">
        <v>1.1</v>
      </c>
      <c r="K19" s="1">
        <v>13.9</v>
      </c>
      <c r="L19" s="1">
        <v>61.0</v>
      </c>
      <c r="M19" s="1">
        <v>11.0</v>
      </c>
      <c r="N19" s="1" t="s">
        <v>19</v>
      </c>
      <c r="O19" s="3">
        <v>21.90476</v>
      </c>
    </row>
    <row r="20">
      <c r="A20" s="1" t="s">
        <v>15</v>
      </c>
      <c r="B20" s="1" t="s">
        <v>18</v>
      </c>
      <c r="C20" s="1">
        <v>2021.0</v>
      </c>
      <c r="D20" s="1">
        <v>11.8</v>
      </c>
      <c r="E20" s="2">
        <f>100-28</f>
        <v>72</v>
      </c>
      <c r="F20" s="3">
        <v>6.513886</v>
      </c>
      <c r="G20" s="1">
        <v>9.496210561</v>
      </c>
      <c r="H20" s="3">
        <v>1.886778</v>
      </c>
      <c r="I20" s="1">
        <v>23.43977</v>
      </c>
      <c r="J20" s="1">
        <v>1.3</v>
      </c>
      <c r="K20" s="1">
        <v>19.1</v>
      </c>
      <c r="L20" s="1">
        <v>62.0</v>
      </c>
      <c r="M20" s="1">
        <v>13.7</v>
      </c>
      <c r="N20" s="1" t="s">
        <v>19</v>
      </c>
      <c r="O20" s="3">
        <v>23.33333</v>
      </c>
    </row>
    <row r="21">
      <c r="A21" s="1" t="s">
        <v>15</v>
      </c>
      <c r="B21" s="1" t="s">
        <v>18</v>
      </c>
      <c r="C21" s="1">
        <v>2022.0</v>
      </c>
      <c r="D21" s="1">
        <v>9.2</v>
      </c>
      <c r="E21" s="2">
        <f>100-27</f>
        <v>73</v>
      </c>
      <c r="F21" s="3">
        <v>4.778107</v>
      </c>
      <c r="G21" s="1">
        <v>19.87385996</v>
      </c>
      <c r="H21" s="3">
        <v>1.747997</v>
      </c>
      <c r="I21" s="1">
        <v>23.27203</v>
      </c>
      <c r="J21" s="1">
        <v>1.2</v>
      </c>
      <c r="K21" s="1">
        <v>18.0</v>
      </c>
      <c r="L21" s="1">
        <v>63.0</v>
      </c>
      <c r="M21" s="1">
        <v>11.8</v>
      </c>
      <c r="N21" s="1" t="s">
        <v>19</v>
      </c>
      <c r="O21" s="3">
        <v>22.64151</v>
      </c>
    </row>
    <row r="22">
      <c r="A22" s="1" t="s">
        <v>15</v>
      </c>
      <c r="B22" s="1" t="s">
        <v>18</v>
      </c>
      <c r="C22" s="1">
        <v>2023.0</v>
      </c>
      <c r="D22" s="1">
        <v>14.7</v>
      </c>
      <c r="E22" s="2">
        <f>100-29</f>
        <v>71</v>
      </c>
      <c r="F22" s="3">
        <v>-0.03984</v>
      </c>
      <c r="G22" s="1">
        <v>30.76812807</v>
      </c>
      <c r="H22" s="3">
        <v>1.548805</v>
      </c>
      <c r="I22" s="1">
        <v>23.7341</v>
      </c>
      <c r="J22" s="1">
        <v>1.3</v>
      </c>
      <c r="K22" s="1">
        <v>26.6</v>
      </c>
      <c r="L22" s="1">
        <v>64.0</v>
      </c>
      <c r="M22" s="1">
        <v>9.2</v>
      </c>
      <c r="N22" s="1" t="s">
        <v>19</v>
      </c>
      <c r="O22" s="3">
        <v>18.86792</v>
      </c>
    </row>
    <row r="23">
      <c r="A23" s="1" t="s">
        <v>15</v>
      </c>
      <c r="B23" s="1" t="s">
        <v>18</v>
      </c>
      <c r="C23" s="1">
        <v>2024.0</v>
      </c>
      <c r="D23" s="1">
        <v>7.4</v>
      </c>
      <c r="E23" s="2">
        <f>100-27</f>
        <v>73</v>
      </c>
      <c r="F23" s="3">
        <v>3.234784</v>
      </c>
      <c r="G23" s="1">
        <v>12.63253185</v>
      </c>
      <c r="H23" s="3">
        <v>1.509599</v>
      </c>
      <c r="I23" s="1">
        <v>24.10624</v>
      </c>
      <c r="J23" s="1">
        <v>1.2</v>
      </c>
      <c r="K23" s="1">
        <v>35.8</v>
      </c>
      <c r="L23" s="1">
        <v>65.0</v>
      </c>
      <c r="M23" s="1">
        <v>14.7</v>
      </c>
      <c r="N23" s="1" t="s">
        <v>19</v>
      </c>
    </row>
    <row r="24">
      <c r="A24" s="1" t="s">
        <v>15</v>
      </c>
      <c r="B24" s="1" t="s">
        <v>20</v>
      </c>
      <c r="C24" s="1">
        <v>2014.0</v>
      </c>
      <c r="D24" s="1">
        <v>11.9</v>
      </c>
      <c r="E24" s="2">
        <f>100-29</f>
        <v>71</v>
      </c>
      <c r="F24" s="3">
        <v>4.116428</v>
      </c>
      <c r="G24" s="1">
        <v>7.189384028</v>
      </c>
      <c r="H24" s="3">
        <v>1.500324</v>
      </c>
      <c r="I24" s="1">
        <v>23.639</v>
      </c>
      <c r="J24" s="1">
        <v>1.8</v>
      </c>
      <c r="K24" s="1">
        <v>20.2</v>
      </c>
      <c r="L24" s="1">
        <v>73.0</v>
      </c>
      <c r="M24" s="1">
        <v>12.7</v>
      </c>
      <c r="N24" s="1" t="s">
        <v>19</v>
      </c>
      <c r="O24" s="3">
        <v>23.07692</v>
      </c>
    </row>
    <row r="25">
      <c r="A25" s="1" t="s">
        <v>15</v>
      </c>
      <c r="B25" s="1" t="s">
        <v>20</v>
      </c>
      <c r="C25" s="1">
        <v>2015.0</v>
      </c>
      <c r="D25" s="1">
        <v>10.9</v>
      </c>
      <c r="E25" s="2">
        <f>100-30</f>
        <v>70</v>
      </c>
      <c r="F25" s="3">
        <v>4.217942</v>
      </c>
      <c r="G25" s="1">
        <v>2.529328173</v>
      </c>
      <c r="H25" s="3">
        <v>1.402501</v>
      </c>
      <c r="I25" s="1">
        <v>23.798</v>
      </c>
      <c r="J25" s="1">
        <v>1.7</v>
      </c>
      <c r="K25" s="1">
        <v>19.9</v>
      </c>
      <c r="L25" s="1">
        <v>74.0</v>
      </c>
      <c r="M25" s="1">
        <v>11.9</v>
      </c>
      <c r="N25" s="1" t="s">
        <v>19</v>
      </c>
      <c r="O25" s="3">
        <v>22.38095</v>
      </c>
    </row>
    <row r="26">
      <c r="A26" s="1" t="s">
        <v>15</v>
      </c>
      <c r="B26" s="1" t="s">
        <v>20</v>
      </c>
      <c r="C26" s="1">
        <v>2016.0</v>
      </c>
      <c r="D26" s="1">
        <v>9.2</v>
      </c>
      <c r="E26" s="2">
        <f t="shared" ref="E26:E27" si="4">100-32</f>
        <v>68</v>
      </c>
      <c r="F26" s="3">
        <v>6.573838</v>
      </c>
      <c r="G26" s="1">
        <v>3.765119164</v>
      </c>
      <c r="H26" s="3">
        <v>1.302164</v>
      </c>
      <c r="I26" s="1">
        <v>23.906</v>
      </c>
      <c r="J26" s="1">
        <v>1.4</v>
      </c>
      <c r="K26" s="1">
        <v>18.1</v>
      </c>
      <c r="L26" s="1">
        <v>75.0</v>
      </c>
      <c r="M26" s="1">
        <v>10.9</v>
      </c>
      <c r="N26" s="1" t="s">
        <v>19</v>
      </c>
      <c r="O26" s="3">
        <v>17.61905</v>
      </c>
    </row>
    <row r="27">
      <c r="A27" s="1" t="s">
        <v>15</v>
      </c>
      <c r="B27" s="1" t="s">
        <v>20</v>
      </c>
      <c r="C27" s="1">
        <v>2017.0</v>
      </c>
      <c r="D27" s="1">
        <v>8.2</v>
      </c>
      <c r="E27" s="2">
        <f t="shared" si="4"/>
        <v>68</v>
      </c>
      <c r="F27" s="3">
        <v>4.432626</v>
      </c>
      <c r="G27" s="1">
        <v>4.08537368</v>
      </c>
      <c r="H27" s="3">
        <v>1.4141</v>
      </c>
      <c r="I27" s="1">
        <v>23.922</v>
      </c>
      <c r="J27" s="1">
        <v>0.3</v>
      </c>
      <c r="K27" s="1">
        <v>5.2</v>
      </c>
      <c r="L27" s="1">
        <v>76.0</v>
      </c>
      <c r="M27" s="1">
        <v>9.2</v>
      </c>
      <c r="N27" s="1" t="s">
        <v>19</v>
      </c>
      <c r="O27" s="3">
        <v>21.90476</v>
      </c>
    </row>
    <row r="28">
      <c r="A28" s="1" t="s">
        <v>15</v>
      </c>
      <c r="B28" s="1" t="s">
        <v>20</v>
      </c>
      <c r="C28" s="1">
        <v>2018.0</v>
      </c>
      <c r="D28" s="1">
        <v>7.0</v>
      </c>
      <c r="E28" s="2">
        <f>100-33</f>
        <v>67</v>
      </c>
      <c r="F28" s="3">
        <v>6.151703</v>
      </c>
      <c r="G28" s="1">
        <v>5.078057259</v>
      </c>
      <c r="H28" s="3">
        <v>1.623715</v>
      </c>
      <c r="I28" s="1">
        <v>23.938</v>
      </c>
      <c r="J28" s="1">
        <v>0.4</v>
      </c>
      <c r="K28" s="1">
        <v>7.1</v>
      </c>
      <c r="L28" s="1">
        <v>77.0</v>
      </c>
      <c r="M28" s="1">
        <v>8.2</v>
      </c>
      <c r="N28" s="1" t="s">
        <v>19</v>
      </c>
      <c r="O28" s="3">
        <v>24.28572</v>
      </c>
    </row>
    <row r="29">
      <c r="A29" s="1" t="s">
        <v>15</v>
      </c>
      <c r="B29" s="1" t="s">
        <v>20</v>
      </c>
      <c r="C29" s="1">
        <v>2019.0</v>
      </c>
      <c r="D29" s="1">
        <v>6.6</v>
      </c>
      <c r="E29" s="2">
        <f>100-32</f>
        <v>68</v>
      </c>
      <c r="F29" s="3">
        <v>2.497637</v>
      </c>
      <c r="G29" s="1">
        <v>10.5783618</v>
      </c>
      <c r="H29" s="3">
        <v>1.691871</v>
      </c>
      <c r="I29" s="1">
        <v>23.759</v>
      </c>
      <c r="J29" s="1">
        <v>0.5</v>
      </c>
      <c r="K29" s="1">
        <v>8.1</v>
      </c>
      <c r="L29" s="1">
        <v>78.0</v>
      </c>
      <c r="M29" s="1">
        <v>7.0</v>
      </c>
      <c r="N29" s="1" t="s">
        <v>19</v>
      </c>
      <c r="O29" s="3">
        <v>20.95238</v>
      </c>
    </row>
    <row r="30">
      <c r="A30" s="1" t="s">
        <v>15</v>
      </c>
      <c r="B30" s="1" t="s">
        <v>20</v>
      </c>
      <c r="C30" s="1">
        <v>2020.0</v>
      </c>
      <c r="D30" s="1">
        <v>6.3</v>
      </c>
      <c r="E30" s="1">
        <f>100-31</f>
        <v>69</v>
      </c>
      <c r="F30" s="3">
        <v>-1.27409</v>
      </c>
      <c r="G30" s="1">
        <v>9.739993139</v>
      </c>
      <c r="H30" s="3">
        <v>1.803751</v>
      </c>
      <c r="I30" s="1">
        <v>23.903</v>
      </c>
      <c r="J30" s="1">
        <v>0.9</v>
      </c>
      <c r="K30" s="1">
        <v>14.4</v>
      </c>
      <c r="L30" s="1">
        <v>79.0</v>
      </c>
      <c r="M30" s="1">
        <v>6.6</v>
      </c>
      <c r="N30" s="1" t="s">
        <v>19</v>
      </c>
      <c r="O30" s="3">
        <v>21.90476</v>
      </c>
    </row>
    <row r="31">
      <c r="A31" s="1" t="s">
        <v>15</v>
      </c>
      <c r="B31" s="1" t="s">
        <v>20</v>
      </c>
      <c r="C31" s="1">
        <v>2021.0</v>
      </c>
      <c r="D31" s="1">
        <v>5.1</v>
      </c>
      <c r="E31" s="2">
        <f>100-28</f>
        <v>72</v>
      </c>
      <c r="F31" s="3">
        <v>6.513886</v>
      </c>
      <c r="G31" s="1">
        <v>9.496210561</v>
      </c>
      <c r="H31" s="3">
        <v>1.886778</v>
      </c>
      <c r="I31" s="1">
        <v>23.988</v>
      </c>
      <c r="J31" s="1">
        <v>0.9</v>
      </c>
      <c r="K31" s="1">
        <v>14.7</v>
      </c>
      <c r="L31" s="1">
        <v>80.0</v>
      </c>
      <c r="M31" s="1">
        <v>6.3</v>
      </c>
      <c r="N31" s="1" t="s">
        <v>19</v>
      </c>
      <c r="O31" s="3">
        <v>23.33333</v>
      </c>
    </row>
    <row r="32">
      <c r="A32" s="1" t="s">
        <v>15</v>
      </c>
      <c r="B32" s="1" t="s">
        <v>20</v>
      </c>
      <c r="C32" s="1">
        <v>2022.0</v>
      </c>
      <c r="D32" s="1">
        <v>4.8</v>
      </c>
      <c r="E32" s="2">
        <f>100-27</f>
        <v>73</v>
      </c>
      <c r="F32" s="3">
        <v>4.778107</v>
      </c>
      <c r="G32" s="1">
        <v>19.87385996</v>
      </c>
      <c r="H32" s="3">
        <v>1.747997</v>
      </c>
      <c r="I32" s="1">
        <v>23.749</v>
      </c>
      <c r="J32" s="1">
        <v>0.8</v>
      </c>
      <c r="K32" s="1">
        <v>12.7</v>
      </c>
      <c r="L32" s="1">
        <v>81.0</v>
      </c>
      <c r="M32" s="1">
        <v>5.1</v>
      </c>
      <c r="N32" s="1" t="s">
        <v>19</v>
      </c>
      <c r="O32" s="3">
        <v>22.64151</v>
      </c>
    </row>
    <row r="33">
      <c r="A33" s="1" t="s">
        <v>15</v>
      </c>
      <c r="B33" s="1" t="s">
        <v>20</v>
      </c>
      <c r="C33" s="1">
        <v>2023.0</v>
      </c>
      <c r="D33" s="1">
        <v>5.2</v>
      </c>
      <c r="E33" s="2">
        <f>100-29</f>
        <v>71</v>
      </c>
      <c r="F33" s="3">
        <v>-0.03984</v>
      </c>
      <c r="G33" s="1">
        <v>30.76812807</v>
      </c>
      <c r="H33" s="3">
        <v>1.548805</v>
      </c>
      <c r="I33" s="1">
        <v>23.707</v>
      </c>
      <c r="J33" s="1">
        <v>1.1</v>
      </c>
      <c r="K33" s="1">
        <v>18.5</v>
      </c>
      <c r="L33" s="1">
        <v>82.0</v>
      </c>
      <c r="M33" s="1">
        <v>4.8</v>
      </c>
      <c r="N33" s="1" t="s">
        <v>19</v>
      </c>
      <c r="O33" s="3">
        <v>18.86792</v>
      </c>
    </row>
    <row r="34">
      <c r="A34" s="1" t="s">
        <v>15</v>
      </c>
      <c r="B34" s="1" t="s">
        <v>20</v>
      </c>
      <c r="C34" s="1">
        <v>2024.0</v>
      </c>
      <c r="D34" s="1">
        <v>4.3</v>
      </c>
      <c r="E34" s="2">
        <f>100-27</f>
        <v>73</v>
      </c>
      <c r="F34" s="3">
        <v>3.234784</v>
      </c>
      <c r="G34" s="1">
        <v>12.63253185</v>
      </c>
      <c r="H34" s="3">
        <v>1.509599</v>
      </c>
      <c r="I34" s="1">
        <v>23.808</v>
      </c>
      <c r="J34" s="1">
        <v>1.0</v>
      </c>
      <c r="K34" s="1">
        <v>16.7</v>
      </c>
      <c r="L34" s="1">
        <v>83.0</v>
      </c>
      <c r="M34" s="1">
        <v>5.2</v>
      </c>
      <c r="N34" s="1" t="s">
        <v>19</v>
      </c>
    </row>
    <row r="35">
      <c r="A35" s="1" t="s">
        <v>15</v>
      </c>
      <c r="B35" s="1" t="s">
        <v>21</v>
      </c>
      <c r="C35" s="1">
        <v>2014.0</v>
      </c>
      <c r="D35" s="1">
        <v>6.8</v>
      </c>
      <c r="E35" s="2">
        <f>100-29</f>
        <v>71</v>
      </c>
      <c r="F35" s="3">
        <v>4.116428</v>
      </c>
      <c r="G35" s="1">
        <v>7.189384028</v>
      </c>
      <c r="H35" s="3">
        <v>1.500324</v>
      </c>
      <c r="I35" s="1">
        <v>22.948</v>
      </c>
      <c r="J35" s="1">
        <v>2.78</v>
      </c>
      <c r="K35" s="1">
        <v>23.83</v>
      </c>
      <c r="L35" s="1">
        <v>67.0</v>
      </c>
      <c r="M35" s="1">
        <v>8.68</v>
      </c>
      <c r="N35" s="1" t="s">
        <v>19</v>
      </c>
      <c r="O35" s="3">
        <v>23.07692</v>
      </c>
    </row>
    <row r="36">
      <c r="A36" s="1" t="s">
        <v>15</v>
      </c>
      <c r="B36" s="1" t="s">
        <v>21</v>
      </c>
      <c r="C36" s="1">
        <v>2015.0</v>
      </c>
      <c r="D36" s="1">
        <v>6.32</v>
      </c>
      <c r="E36" s="2">
        <f>100-30</f>
        <v>70</v>
      </c>
      <c r="F36" s="3">
        <v>4.217942</v>
      </c>
      <c r="G36" s="1">
        <v>2.529328173</v>
      </c>
      <c r="H36" s="3">
        <v>1.402501</v>
      </c>
      <c r="I36" s="1">
        <v>23.005</v>
      </c>
      <c r="J36" s="1">
        <v>2.63</v>
      </c>
      <c r="K36" s="1">
        <v>23.21</v>
      </c>
      <c r="L36" s="1">
        <v>68.0</v>
      </c>
      <c r="M36" s="1">
        <v>6.8</v>
      </c>
      <c r="N36" s="1" t="s">
        <v>19</v>
      </c>
      <c r="O36" s="3">
        <v>22.38095</v>
      </c>
    </row>
    <row r="37">
      <c r="A37" s="1" t="s">
        <v>15</v>
      </c>
      <c r="B37" s="1" t="s">
        <v>21</v>
      </c>
      <c r="C37" s="1">
        <v>2016.0</v>
      </c>
      <c r="D37" s="1">
        <v>5.9</v>
      </c>
      <c r="E37" s="2">
        <f t="shared" ref="E37:E38" si="5">100-32</f>
        <v>68</v>
      </c>
      <c r="F37" s="3">
        <v>6.573838</v>
      </c>
      <c r="G37" s="1">
        <v>3.765119164</v>
      </c>
      <c r="H37" s="3">
        <v>1.302164</v>
      </c>
      <c r="I37" s="1">
        <v>23.052</v>
      </c>
      <c r="J37" s="1">
        <v>2.16</v>
      </c>
      <c r="K37" s="1">
        <v>18.94</v>
      </c>
      <c r="L37" s="1">
        <v>69.0</v>
      </c>
      <c r="M37" s="1">
        <v>6.32</v>
      </c>
      <c r="N37" s="1" t="s">
        <v>19</v>
      </c>
      <c r="O37" s="3">
        <v>17.61905</v>
      </c>
    </row>
    <row r="38">
      <c r="A38" s="1" t="s">
        <v>15</v>
      </c>
      <c r="B38" s="1" t="s">
        <v>21</v>
      </c>
      <c r="C38" s="1">
        <v>2017.0</v>
      </c>
      <c r="D38" s="1">
        <v>9.47</v>
      </c>
      <c r="E38" s="2">
        <f t="shared" si="5"/>
        <v>68</v>
      </c>
      <c r="F38" s="3">
        <v>4.432626</v>
      </c>
      <c r="G38" s="1">
        <v>4.08537368</v>
      </c>
      <c r="H38" s="3">
        <v>1.4141</v>
      </c>
      <c r="I38" s="1">
        <v>23.226</v>
      </c>
      <c r="J38" s="1">
        <v>1.86</v>
      </c>
      <c r="K38" s="1">
        <v>17.65</v>
      </c>
      <c r="L38" s="1">
        <v>70.0</v>
      </c>
      <c r="M38" s="1">
        <v>5.9</v>
      </c>
      <c r="N38" s="1" t="s">
        <v>19</v>
      </c>
      <c r="O38" s="3">
        <v>21.90476</v>
      </c>
    </row>
    <row r="39">
      <c r="A39" s="1" t="s">
        <v>15</v>
      </c>
      <c r="B39" s="1" t="s">
        <v>21</v>
      </c>
      <c r="C39" s="1">
        <v>2018.0</v>
      </c>
      <c r="D39" s="1">
        <v>8.95</v>
      </c>
      <c r="E39" s="2">
        <f>100-33</f>
        <v>67</v>
      </c>
      <c r="F39" s="3">
        <v>6.151703</v>
      </c>
      <c r="G39" s="1">
        <v>5.078057259</v>
      </c>
      <c r="H39" s="3">
        <v>1.623715</v>
      </c>
      <c r="I39" s="1">
        <v>23.235</v>
      </c>
      <c r="J39" s="1">
        <v>1.5</v>
      </c>
      <c r="K39" s="1">
        <v>15.48</v>
      </c>
      <c r="L39" s="1">
        <v>71.0</v>
      </c>
      <c r="M39" s="1">
        <v>9.47</v>
      </c>
      <c r="N39" s="1" t="s">
        <v>19</v>
      </c>
      <c r="O39" s="3">
        <v>24.28572</v>
      </c>
    </row>
    <row r="40">
      <c r="A40" s="1" t="s">
        <v>15</v>
      </c>
      <c r="B40" s="1" t="s">
        <v>21</v>
      </c>
      <c r="C40" s="1">
        <v>2019.0</v>
      </c>
      <c r="D40" s="1">
        <v>9.15</v>
      </c>
      <c r="E40" s="2">
        <f>100-32</f>
        <v>68</v>
      </c>
      <c r="F40" s="3">
        <v>2.497637</v>
      </c>
      <c r="G40" s="1">
        <v>10.5783618</v>
      </c>
      <c r="H40" s="3">
        <v>1.691871</v>
      </c>
      <c r="I40" s="1">
        <v>23.003</v>
      </c>
      <c r="J40" s="1">
        <v>1.59</v>
      </c>
      <c r="K40" s="1">
        <v>16.84</v>
      </c>
      <c r="L40" s="1">
        <v>72.0</v>
      </c>
      <c r="M40" s="1">
        <v>8.95</v>
      </c>
      <c r="N40" s="1" t="s">
        <v>19</v>
      </c>
      <c r="O40" s="3">
        <v>20.95238</v>
      </c>
    </row>
    <row r="41">
      <c r="A41" s="1" t="s">
        <v>15</v>
      </c>
      <c r="B41" s="1" t="s">
        <v>21</v>
      </c>
      <c r="C41" s="1">
        <v>2020.0</v>
      </c>
      <c r="D41" s="1">
        <v>9.97</v>
      </c>
      <c r="E41" s="1">
        <f>100-31</f>
        <v>69</v>
      </c>
      <c r="F41" s="3">
        <v>-1.27409</v>
      </c>
      <c r="G41" s="1">
        <v>9.739993139</v>
      </c>
      <c r="H41" s="3">
        <v>1.803751</v>
      </c>
      <c r="I41" s="1">
        <v>23.12</v>
      </c>
      <c r="J41" s="1">
        <v>1.77</v>
      </c>
      <c r="K41" s="1">
        <v>18.88</v>
      </c>
      <c r="L41" s="1">
        <v>73.0</v>
      </c>
      <c r="M41" s="1">
        <v>9.15</v>
      </c>
      <c r="N41" s="1" t="s">
        <v>19</v>
      </c>
      <c r="O41" s="3">
        <v>21.90476</v>
      </c>
    </row>
    <row r="42">
      <c r="A42" s="1" t="s">
        <v>15</v>
      </c>
      <c r="B42" s="1" t="s">
        <v>21</v>
      </c>
      <c r="C42" s="1">
        <v>2021.0</v>
      </c>
      <c r="D42" s="1">
        <v>7.94</v>
      </c>
      <c r="E42" s="2">
        <f>100-28</f>
        <v>72</v>
      </c>
      <c r="F42" s="3">
        <v>6.513886</v>
      </c>
      <c r="G42" s="1">
        <v>9.496210561</v>
      </c>
      <c r="H42" s="3">
        <v>1.886778</v>
      </c>
      <c r="I42" s="1">
        <v>23.203</v>
      </c>
      <c r="J42" s="1">
        <v>1.65</v>
      </c>
      <c r="K42" s="1">
        <v>19.11</v>
      </c>
      <c r="L42" s="1">
        <v>74.0</v>
      </c>
      <c r="M42" s="1">
        <v>9.97</v>
      </c>
      <c r="N42" s="1" t="s">
        <v>19</v>
      </c>
      <c r="O42" s="3">
        <v>23.33333</v>
      </c>
    </row>
    <row r="43">
      <c r="A43" s="1" t="s">
        <v>15</v>
      </c>
      <c r="B43" s="1" t="s">
        <v>21</v>
      </c>
      <c r="C43" s="1">
        <v>2022.0</v>
      </c>
      <c r="D43" s="1">
        <v>6.43</v>
      </c>
      <c r="E43" s="2">
        <f>100-27</f>
        <v>73</v>
      </c>
      <c r="F43" s="3">
        <v>4.778107</v>
      </c>
      <c r="G43" s="1">
        <v>19.87385996</v>
      </c>
      <c r="H43" s="3">
        <v>1.747997</v>
      </c>
      <c r="I43" s="1">
        <v>22.95</v>
      </c>
      <c r="J43" s="1">
        <v>1.61</v>
      </c>
      <c r="K43" s="1">
        <v>19.78</v>
      </c>
      <c r="L43" s="1">
        <v>75.0</v>
      </c>
      <c r="M43" s="1">
        <v>7.94</v>
      </c>
      <c r="N43" s="1" t="s">
        <v>19</v>
      </c>
      <c r="O43" s="3">
        <v>22.64151</v>
      </c>
    </row>
    <row r="44">
      <c r="A44" s="1" t="s">
        <v>15</v>
      </c>
      <c r="B44" s="1" t="s">
        <v>21</v>
      </c>
      <c r="C44" s="1">
        <v>2023.0</v>
      </c>
      <c r="D44" s="1">
        <v>8.66</v>
      </c>
      <c r="E44" s="2">
        <f>100-29</f>
        <v>71</v>
      </c>
      <c r="F44" s="3">
        <v>-0.03984</v>
      </c>
      <c r="G44" s="1">
        <v>30.76812807</v>
      </c>
      <c r="H44" s="3">
        <v>1.548805</v>
      </c>
      <c r="I44" s="1">
        <v>22.883</v>
      </c>
      <c r="J44" s="1">
        <v>2.64</v>
      </c>
      <c r="K44" s="1">
        <v>31.6</v>
      </c>
      <c r="L44" s="1">
        <v>76.0</v>
      </c>
      <c r="M44" s="1">
        <v>6.43</v>
      </c>
      <c r="N44" s="1" t="s">
        <v>19</v>
      </c>
      <c r="O44" s="3">
        <v>18.86792</v>
      </c>
    </row>
    <row r="45">
      <c r="A45" s="1" t="s">
        <v>15</v>
      </c>
      <c r="B45" s="1" t="s">
        <v>21</v>
      </c>
      <c r="C45" s="1">
        <v>2024.0</v>
      </c>
      <c r="D45" s="1">
        <v>4.89</v>
      </c>
      <c r="E45" s="2">
        <f>100-27</f>
        <v>73</v>
      </c>
      <c r="F45" s="3">
        <v>3.234784</v>
      </c>
      <c r="G45" s="1">
        <v>12.63253185</v>
      </c>
      <c r="H45" s="3">
        <v>1.509599</v>
      </c>
      <c r="I45" s="1">
        <v>23.001</v>
      </c>
      <c r="J45" s="1">
        <v>2.25</v>
      </c>
      <c r="K45" s="1">
        <v>26.56</v>
      </c>
      <c r="L45" s="1">
        <v>77.0</v>
      </c>
      <c r="M45" s="1">
        <v>8.66</v>
      </c>
      <c r="N45" s="1" t="s">
        <v>19</v>
      </c>
    </row>
    <row r="46">
      <c r="A46" s="1" t="s">
        <v>15</v>
      </c>
      <c r="B46" s="1" t="s">
        <v>22</v>
      </c>
      <c r="C46" s="1">
        <v>2014.0</v>
      </c>
      <c r="D46" s="1">
        <v>7.0</v>
      </c>
      <c r="E46" s="4">
        <f>100-29</f>
        <v>71</v>
      </c>
      <c r="F46" s="5">
        <v>4.116428</v>
      </c>
      <c r="G46" s="6">
        <v>7.189384028</v>
      </c>
      <c r="H46" s="5">
        <v>1.500324</v>
      </c>
      <c r="I46" s="7">
        <v>22.8512</v>
      </c>
      <c r="J46" s="1">
        <v>1.9</v>
      </c>
      <c r="K46" s="1">
        <v>25.9</v>
      </c>
      <c r="L46" s="1">
        <v>72.0</v>
      </c>
      <c r="M46" s="1">
        <v>6.8</v>
      </c>
      <c r="N46" s="1" t="s">
        <v>19</v>
      </c>
      <c r="O46" s="3">
        <v>23.07692</v>
      </c>
    </row>
    <row r="47">
      <c r="A47" s="1" t="s">
        <v>15</v>
      </c>
      <c r="B47" s="1" t="s">
        <v>22</v>
      </c>
      <c r="C47" s="1">
        <v>2015.0</v>
      </c>
      <c r="D47" s="1">
        <v>6.4</v>
      </c>
      <c r="E47" s="2">
        <f>100-30</f>
        <v>70</v>
      </c>
      <c r="F47" s="3">
        <v>4.217942</v>
      </c>
      <c r="G47" s="1">
        <v>2.529328173</v>
      </c>
      <c r="H47" s="3">
        <v>1.402501</v>
      </c>
      <c r="I47" s="1">
        <v>22.97973</v>
      </c>
      <c r="J47" s="1">
        <v>1.6</v>
      </c>
      <c r="K47" s="1">
        <v>23.3</v>
      </c>
      <c r="L47" s="1">
        <v>73.0</v>
      </c>
      <c r="M47" s="1">
        <v>7.0</v>
      </c>
      <c r="N47" s="1" t="s">
        <v>19</v>
      </c>
      <c r="O47" s="3">
        <v>22.38095</v>
      </c>
    </row>
    <row r="48">
      <c r="A48" s="1" t="s">
        <v>15</v>
      </c>
      <c r="B48" s="1" t="s">
        <v>22</v>
      </c>
      <c r="C48" s="1">
        <v>2016.0</v>
      </c>
      <c r="D48" s="1">
        <v>5.9</v>
      </c>
      <c r="E48" s="2">
        <f t="shared" ref="E48:E49" si="6">100-32</f>
        <v>68</v>
      </c>
      <c r="F48" s="3">
        <v>6.573838</v>
      </c>
      <c r="G48" s="1">
        <v>3.765119164</v>
      </c>
      <c r="H48" s="3">
        <v>1.302164</v>
      </c>
      <c r="I48" s="1">
        <v>23.05201</v>
      </c>
      <c r="J48" s="1">
        <v>1.4</v>
      </c>
      <c r="K48" s="1">
        <v>20.3</v>
      </c>
      <c r="L48" s="1">
        <v>74.0</v>
      </c>
      <c r="M48" s="1">
        <v>6.4</v>
      </c>
      <c r="N48" s="1" t="s">
        <v>19</v>
      </c>
      <c r="O48" s="3">
        <v>17.61905</v>
      </c>
    </row>
    <row r="49">
      <c r="A49" s="1" t="s">
        <v>15</v>
      </c>
      <c r="B49" s="1" t="s">
        <v>22</v>
      </c>
      <c r="C49" s="1">
        <v>2017.0</v>
      </c>
      <c r="D49" s="1">
        <v>4.6</v>
      </c>
      <c r="E49" s="2">
        <f t="shared" si="6"/>
        <v>68</v>
      </c>
      <c r="F49" s="3">
        <v>4.432626</v>
      </c>
      <c r="G49" s="1">
        <v>4.08537368</v>
      </c>
      <c r="H49" s="3">
        <v>1.4141</v>
      </c>
      <c r="I49" s="1">
        <v>23.2002</v>
      </c>
      <c r="J49" s="1">
        <v>1.1</v>
      </c>
      <c r="K49" s="1">
        <v>16.6</v>
      </c>
      <c r="L49" s="1">
        <v>75.0</v>
      </c>
      <c r="M49" s="1">
        <v>5.9</v>
      </c>
      <c r="N49" s="1" t="s">
        <v>19</v>
      </c>
      <c r="O49" s="3">
        <v>21.90476</v>
      </c>
    </row>
    <row r="50">
      <c r="A50" s="1" t="s">
        <v>15</v>
      </c>
      <c r="B50" s="1" t="s">
        <v>22</v>
      </c>
      <c r="C50" s="1">
        <v>2018.0</v>
      </c>
      <c r="D50" s="1">
        <v>3.5</v>
      </c>
      <c r="E50" s="2">
        <f>100-33</f>
        <v>67</v>
      </c>
      <c r="F50" s="3">
        <v>6.151703</v>
      </c>
      <c r="G50" s="1">
        <v>5.078057259</v>
      </c>
      <c r="H50" s="3">
        <v>1.623715</v>
      </c>
      <c r="I50" s="1">
        <v>23.13587</v>
      </c>
      <c r="J50" s="1">
        <v>1.0</v>
      </c>
      <c r="K50" s="1">
        <v>15.8</v>
      </c>
      <c r="L50" s="1">
        <v>76.0</v>
      </c>
      <c r="M50" s="1">
        <v>4.6</v>
      </c>
      <c r="N50" s="1" t="s">
        <v>19</v>
      </c>
      <c r="O50" s="3">
        <v>24.28572</v>
      </c>
    </row>
    <row r="51">
      <c r="A51" s="1" t="s">
        <v>15</v>
      </c>
      <c r="B51" s="1" t="s">
        <v>22</v>
      </c>
      <c r="C51" s="1">
        <v>2019.0</v>
      </c>
      <c r="D51" s="1">
        <v>3.17</v>
      </c>
      <c r="E51" s="2">
        <f>100-32</f>
        <v>68</v>
      </c>
      <c r="F51" s="3">
        <v>2.497637</v>
      </c>
      <c r="G51" s="1">
        <v>10.5783618</v>
      </c>
      <c r="H51" s="3">
        <v>1.691871</v>
      </c>
      <c r="I51" s="1">
        <v>22.99307</v>
      </c>
      <c r="J51" s="1">
        <v>1.0</v>
      </c>
      <c r="K51" s="1">
        <v>16.24</v>
      </c>
      <c r="L51" s="1">
        <v>77.0</v>
      </c>
      <c r="M51" s="1">
        <v>3.5</v>
      </c>
      <c r="N51" s="1" t="s">
        <v>19</v>
      </c>
      <c r="O51" s="3">
        <v>20.95238</v>
      </c>
    </row>
    <row r="52">
      <c r="A52" s="1" t="s">
        <v>15</v>
      </c>
      <c r="B52" s="1" t="s">
        <v>22</v>
      </c>
      <c r="C52" s="1">
        <v>2020.0</v>
      </c>
      <c r="D52" s="1">
        <v>2.78</v>
      </c>
      <c r="E52" s="1">
        <f>100-31</f>
        <v>69</v>
      </c>
      <c r="F52" s="3">
        <v>-1.27409</v>
      </c>
      <c r="G52" s="1">
        <v>9.739993139</v>
      </c>
      <c r="H52" s="3">
        <v>1.803751</v>
      </c>
      <c r="I52" s="1">
        <v>22.99919</v>
      </c>
      <c r="J52" s="1">
        <v>1.17</v>
      </c>
      <c r="K52" s="1">
        <v>18.75</v>
      </c>
      <c r="L52" s="1">
        <v>78.0</v>
      </c>
      <c r="M52" s="1">
        <v>3.17</v>
      </c>
      <c r="N52" s="1" t="s">
        <v>19</v>
      </c>
      <c r="O52" s="3">
        <v>21.90476</v>
      </c>
    </row>
    <row r="53">
      <c r="A53" s="1" t="s">
        <v>15</v>
      </c>
      <c r="B53" s="1" t="s">
        <v>22</v>
      </c>
      <c r="C53" s="1">
        <v>2021.0</v>
      </c>
      <c r="D53" s="1">
        <v>2.04</v>
      </c>
      <c r="E53" s="2">
        <f>100-28</f>
        <v>72</v>
      </c>
      <c r="F53" s="3">
        <v>6.513886</v>
      </c>
      <c r="G53" s="1">
        <v>9.496210561</v>
      </c>
      <c r="H53" s="3">
        <v>1.886778</v>
      </c>
      <c r="I53" s="1">
        <v>23.14927</v>
      </c>
      <c r="J53" s="1">
        <v>0.96</v>
      </c>
      <c r="K53" s="1">
        <v>16.46</v>
      </c>
      <c r="L53" s="1">
        <v>79.0</v>
      </c>
      <c r="M53" s="1">
        <v>2.78</v>
      </c>
      <c r="N53" s="1" t="s">
        <v>19</v>
      </c>
      <c r="O53" s="3">
        <v>23.33333</v>
      </c>
    </row>
    <row r="54">
      <c r="A54" s="1" t="s">
        <v>15</v>
      </c>
      <c r="B54" s="1" t="s">
        <v>22</v>
      </c>
      <c r="C54" s="1">
        <v>2022.0</v>
      </c>
      <c r="D54" s="1">
        <v>1.53</v>
      </c>
      <c r="E54" s="2">
        <f>100-27</f>
        <v>73</v>
      </c>
      <c r="F54" s="3">
        <v>4.778107</v>
      </c>
      <c r="G54" s="1">
        <v>19.87385996</v>
      </c>
      <c r="H54" s="3">
        <v>1.747997</v>
      </c>
      <c r="I54" s="1">
        <v>23.03255</v>
      </c>
      <c r="J54" s="1">
        <v>0.99</v>
      </c>
      <c r="K54" s="1">
        <v>18.41</v>
      </c>
      <c r="L54" s="1">
        <v>80.0</v>
      </c>
      <c r="M54" s="1">
        <v>2.04</v>
      </c>
      <c r="N54" s="1" t="s">
        <v>19</v>
      </c>
      <c r="O54" s="3">
        <v>22.64151</v>
      </c>
    </row>
    <row r="55">
      <c r="A55" s="1" t="s">
        <v>15</v>
      </c>
      <c r="B55" s="1" t="s">
        <v>22</v>
      </c>
      <c r="C55" s="1">
        <v>2023.0</v>
      </c>
      <c r="D55" s="1">
        <v>1.64</v>
      </c>
      <c r="E55" s="2">
        <f>100-29</f>
        <v>71</v>
      </c>
      <c r="F55" s="3">
        <v>-0.03984</v>
      </c>
      <c r="G55" s="1">
        <v>30.76812807</v>
      </c>
      <c r="H55" s="3">
        <v>1.548805</v>
      </c>
      <c r="I55" s="1">
        <v>22.84495</v>
      </c>
      <c r="J55" s="1">
        <v>1.78</v>
      </c>
      <c r="K55" s="1">
        <v>29.4</v>
      </c>
      <c r="L55" s="1">
        <v>81.0</v>
      </c>
      <c r="M55" s="1">
        <v>1.53</v>
      </c>
      <c r="N55" s="1" t="s">
        <v>19</v>
      </c>
      <c r="O55" s="3">
        <v>18.86792</v>
      </c>
    </row>
    <row r="56">
      <c r="A56" s="1" t="s">
        <v>15</v>
      </c>
      <c r="B56" s="1" t="s">
        <v>22</v>
      </c>
      <c r="C56" s="1">
        <v>2024.0</v>
      </c>
      <c r="D56" s="1">
        <v>1.22</v>
      </c>
      <c r="E56" s="2">
        <f>100-27</f>
        <v>73</v>
      </c>
      <c r="F56" s="3">
        <v>3.234784</v>
      </c>
      <c r="G56" s="1">
        <v>12.63253185</v>
      </c>
      <c r="H56" s="3">
        <v>1.509599</v>
      </c>
      <c r="I56" s="1">
        <v>23.04535</v>
      </c>
      <c r="J56" s="1">
        <v>1.7</v>
      </c>
      <c r="K56" s="1">
        <v>26.01</v>
      </c>
      <c r="L56" s="1">
        <v>82.0</v>
      </c>
      <c r="M56" s="1">
        <v>1.64</v>
      </c>
      <c r="N56" s="1" t="s">
        <v>19</v>
      </c>
    </row>
    <row r="57">
      <c r="A57" s="1" t="s">
        <v>15</v>
      </c>
      <c r="B57" s="1" t="s">
        <v>23</v>
      </c>
      <c r="C57" s="1">
        <v>2014.0</v>
      </c>
      <c r="D57" s="1">
        <v>6.37</v>
      </c>
      <c r="E57" s="4">
        <f>100-29</f>
        <v>71</v>
      </c>
      <c r="F57" s="5">
        <v>4.116428</v>
      </c>
      <c r="G57" s="6">
        <v>7.189384028</v>
      </c>
      <c r="H57" s="5">
        <v>1.500324</v>
      </c>
      <c r="I57" s="1">
        <v>22.73652</v>
      </c>
      <c r="J57" s="1">
        <v>0.83</v>
      </c>
      <c r="K57" s="1">
        <v>16.39</v>
      </c>
      <c r="L57" s="1">
        <v>32.0</v>
      </c>
      <c r="M57" s="1">
        <v>6.55</v>
      </c>
      <c r="N57" s="1" t="s">
        <v>19</v>
      </c>
      <c r="O57" s="3">
        <v>23.07692</v>
      </c>
    </row>
    <row r="58">
      <c r="A58" s="1" t="s">
        <v>15</v>
      </c>
      <c r="B58" s="1" t="s">
        <v>23</v>
      </c>
      <c r="C58" s="1">
        <v>2015.0</v>
      </c>
      <c r="D58" s="1">
        <v>5.27</v>
      </c>
      <c r="E58" s="2">
        <f>100-30</f>
        <v>70</v>
      </c>
      <c r="F58" s="3">
        <v>4.217942</v>
      </c>
      <c r="G58" s="1">
        <v>2.529328173</v>
      </c>
      <c r="H58" s="3">
        <v>1.402501</v>
      </c>
      <c r="I58" s="1">
        <v>22.90144</v>
      </c>
      <c r="J58" s="1">
        <v>0.93</v>
      </c>
      <c r="K58" s="1">
        <v>15.48</v>
      </c>
      <c r="L58" s="1">
        <v>33.0</v>
      </c>
      <c r="M58" s="1">
        <v>6.37</v>
      </c>
      <c r="N58" s="1" t="s">
        <v>19</v>
      </c>
      <c r="O58" s="3">
        <v>22.38095</v>
      </c>
    </row>
    <row r="59">
      <c r="A59" s="1" t="s">
        <v>15</v>
      </c>
      <c r="B59" s="1" t="s">
        <v>23</v>
      </c>
      <c r="C59" s="1">
        <v>2016.0</v>
      </c>
      <c r="D59" s="1">
        <v>4.8</v>
      </c>
      <c r="E59" s="2">
        <f t="shared" ref="E59:E60" si="7">100-32</f>
        <v>68</v>
      </c>
      <c r="F59" s="3">
        <v>6.573838</v>
      </c>
      <c r="G59" s="1">
        <v>3.765119164</v>
      </c>
      <c r="H59" s="3">
        <v>1.302164</v>
      </c>
      <c r="I59" s="1">
        <v>22.90895</v>
      </c>
      <c r="J59" s="1">
        <v>0.88</v>
      </c>
      <c r="K59" s="1">
        <v>13.86</v>
      </c>
      <c r="L59" s="1">
        <v>34.0</v>
      </c>
      <c r="M59" s="1">
        <v>5.27</v>
      </c>
      <c r="N59" s="1" t="s">
        <v>19</v>
      </c>
      <c r="O59" s="3">
        <v>17.61905</v>
      </c>
    </row>
    <row r="60">
      <c r="A60" s="1" t="s">
        <v>15</v>
      </c>
      <c r="B60" s="1" t="s">
        <v>23</v>
      </c>
      <c r="C60" s="1">
        <v>2017.0</v>
      </c>
      <c r="D60" s="1">
        <v>4.21</v>
      </c>
      <c r="E60" s="2">
        <f t="shared" si="7"/>
        <v>68</v>
      </c>
      <c r="F60" s="3">
        <v>4.432626</v>
      </c>
      <c r="G60" s="1">
        <v>4.08537368</v>
      </c>
      <c r="H60" s="3">
        <v>1.4141</v>
      </c>
      <c r="I60" s="1">
        <v>22.97597</v>
      </c>
      <c r="J60" s="1">
        <v>0.87</v>
      </c>
      <c r="K60" s="1">
        <v>13.22</v>
      </c>
      <c r="L60" s="1">
        <v>35.0</v>
      </c>
      <c r="M60" s="1">
        <v>4.8</v>
      </c>
      <c r="N60" s="1" t="s">
        <v>19</v>
      </c>
      <c r="O60" s="3">
        <v>21.90476</v>
      </c>
    </row>
    <row r="61">
      <c r="A61" s="1" t="s">
        <v>15</v>
      </c>
      <c r="B61" s="1" t="s">
        <v>23</v>
      </c>
      <c r="C61" s="1">
        <v>2018.0</v>
      </c>
      <c r="D61" s="1">
        <v>3.63</v>
      </c>
      <c r="E61" s="2">
        <f>100-33</f>
        <v>67</v>
      </c>
      <c r="F61" s="3">
        <v>6.151703</v>
      </c>
      <c r="G61" s="1">
        <v>5.078057259</v>
      </c>
      <c r="H61" s="3">
        <v>1.623715</v>
      </c>
      <c r="I61" s="1">
        <v>22.84169</v>
      </c>
      <c r="J61" s="1">
        <v>1.11</v>
      </c>
      <c r="K61" s="1">
        <v>15.33</v>
      </c>
      <c r="L61" s="1">
        <v>36.0</v>
      </c>
      <c r="M61" s="1">
        <v>4.21</v>
      </c>
      <c r="N61" s="1" t="s">
        <v>19</v>
      </c>
      <c r="O61" s="3">
        <v>24.28572</v>
      </c>
    </row>
    <row r="62">
      <c r="A62" s="1" t="s">
        <v>15</v>
      </c>
      <c r="B62" s="1" t="s">
        <v>23</v>
      </c>
      <c r="C62" s="1">
        <v>2019.0</v>
      </c>
      <c r="D62" s="1">
        <v>4.23</v>
      </c>
      <c r="E62" s="2">
        <f>100-32</f>
        <v>68</v>
      </c>
      <c r="F62" s="3">
        <v>2.497637</v>
      </c>
      <c r="G62" s="1">
        <v>10.5783618</v>
      </c>
      <c r="H62" s="3">
        <v>1.691871</v>
      </c>
      <c r="I62" s="1">
        <v>22.65072</v>
      </c>
      <c r="J62" s="1">
        <v>1.26</v>
      </c>
      <c r="K62" s="1">
        <v>15.65</v>
      </c>
      <c r="L62" s="1">
        <v>37.0</v>
      </c>
      <c r="M62" s="1">
        <v>3.63</v>
      </c>
      <c r="N62" s="1" t="s">
        <v>19</v>
      </c>
      <c r="O62" s="3">
        <v>20.95238</v>
      </c>
    </row>
    <row r="63">
      <c r="A63" s="1" t="s">
        <v>15</v>
      </c>
      <c r="B63" s="1" t="s">
        <v>23</v>
      </c>
      <c r="C63" s="1">
        <v>2020.0</v>
      </c>
      <c r="D63" s="1">
        <v>4.3</v>
      </c>
      <c r="E63" s="1">
        <f>100-31</f>
        <v>69</v>
      </c>
      <c r="F63" s="3">
        <v>-1.27409</v>
      </c>
      <c r="G63" s="1">
        <v>9.739993139</v>
      </c>
      <c r="H63" s="3">
        <v>1.803751</v>
      </c>
      <c r="I63" s="1">
        <v>22.8512</v>
      </c>
      <c r="J63" s="1">
        <v>0.87</v>
      </c>
      <c r="K63" s="1">
        <v>11.55</v>
      </c>
      <c r="L63" s="1">
        <v>38.0</v>
      </c>
      <c r="M63" s="1">
        <v>4.23</v>
      </c>
      <c r="N63" s="1" t="s">
        <v>19</v>
      </c>
      <c r="O63" s="3">
        <v>21.90476</v>
      </c>
    </row>
    <row r="64">
      <c r="A64" s="1" t="s">
        <v>15</v>
      </c>
      <c r="B64" s="1" t="s">
        <v>23</v>
      </c>
      <c r="C64" s="1">
        <v>2021.0</v>
      </c>
      <c r="D64" s="1">
        <v>3.53</v>
      </c>
      <c r="E64" s="2">
        <f>100-28</f>
        <v>72</v>
      </c>
      <c r="F64" s="3">
        <v>6.513886</v>
      </c>
      <c r="G64" s="1">
        <v>9.496210561</v>
      </c>
      <c r="H64" s="3">
        <v>1.886778</v>
      </c>
      <c r="I64" s="1">
        <v>22.99434</v>
      </c>
      <c r="J64" s="1">
        <v>0.92</v>
      </c>
      <c r="K64" s="1">
        <v>15.3</v>
      </c>
      <c r="L64" s="1">
        <v>39.0</v>
      </c>
      <c r="M64" s="1">
        <v>4.3</v>
      </c>
      <c r="N64" s="1" t="s">
        <v>19</v>
      </c>
      <c r="O64" s="3">
        <v>23.33333</v>
      </c>
    </row>
    <row r="65">
      <c r="A65" s="1" t="s">
        <v>15</v>
      </c>
      <c r="B65" s="1" t="s">
        <v>23</v>
      </c>
      <c r="C65" s="1">
        <v>2022.0</v>
      </c>
      <c r="D65" s="1">
        <v>4.04</v>
      </c>
      <c r="E65" s="2">
        <f>100-27</f>
        <v>73</v>
      </c>
      <c r="F65" s="3">
        <v>4.778107</v>
      </c>
      <c r="G65" s="1">
        <v>19.87385996</v>
      </c>
      <c r="H65" s="3">
        <v>1.747997</v>
      </c>
      <c r="I65" s="1">
        <v>23.02727</v>
      </c>
      <c r="J65" s="1">
        <v>1.06</v>
      </c>
      <c r="K65" s="1">
        <v>19.23</v>
      </c>
      <c r="L65" s="1">
        <v>40.0</v>
      </c>
      <c r="M65" s="1">
        <v>3.53</v>
      </c>
      <c r="N65" s="1" t="s">
        <v>19</v>
      </c>
      <c r="O65" s="3">
        <v>22.64151</v>
      </c>
    </row>
    <row r="66">
      <c r="A66" s="1" t="s">
        <v>15</v>
      </c>
      <c r="B66" s="1" t="s">
        <v>23</v>
      </c>
      <c r="C66" s="1">
        <v>2023.0</v>
      </c>
      <c r="D66" s="1">
        <v>4.84</v>
      </c>
      <c r="E66" s="2">
        <f>100-29</f>
        <v>71</v>
      </c>
      <c r="F66" s="3">
        <v>-0.03984</v>
      </c>
      <c r="G66" s="1">
        <v>30.76812807</v>
      </c>
      <c r="H66" s="3">
        <v>1.548805</v>
      </c>
      <c r="I66" s="1">
        <v>23.20027</v>
      </c>
      <c r="J66" s="1">
        <v>1.36</v>
      </c>
      <c r="K66" s="1">
        <v>31.67</v>
      </c>
      <c r="L66" s="1">
        <v>41.0</v>
      </c>
      <c r="M66" s="1">
        <v>4.04</v>
      </c>
      <c r="N66" s="1" t="s">
        <v>19</v>
      </c>
      <c r="O66" s="3">
        <v>18.86792</v>
      </c>
    </row>
    <row r="67">
      <c r="A67" s="1" t="s">
        <v>15</v>
      </c>
      <c r="B67" s="1" t="s">
        <v>23</v>
      </c>
      <c r="C67" s="1">
        <v>2024.0</v>
      </c>
      <c r="D67" s="1">
        <v>3.66</v>
      </c>
      <c r="E67" s="2">
        <f>100-27</f>
        <v>73</v>
      </c>
      <c r="F67" s="3">
        <v>3.234784</v>
      </c>
      <c r="G67" s="1">
        <v>12.63253185</v>
      </c>
      <c r="H67" s="3">
        <v>1.509599</v>
      </c>
      <c r="I67" s="1">
        <v>23.31432</v>
      </c>
      <c r="J67" s="1">
        <v>1.15</v>
      </c>
      <c r="K67" s="1">
        <v>24.83</v>
      </c>
      <c r="L67" s="1">
        <v>42.0</v>
      </c>
      <c r="M67" s="1">
        <v>4.84</v>
      </c>
      <c r="N67" s="1" t="s">
        <v>19</v>
      </c>
    </row>
    <row r="68">
      <c r="A68" s="1" t="s">
        <v>15</v>
      </c>
      <c r="B68" s="1" t="s">
        <v>24</v>
      </c>
      <c r="C68" s="1">
        <v>2014.0</v>
      </c>
      <c r="D68" s="1">
        <v>3.8</v>
      </c>
      <c r="E68" s="4">
        <f>100-29</f>
        <v>71</v>
      </c>
      <c r="F68" s="5">
        <v>4.116428</v>
      </c>
      <c r="G68" s="6">
        <v>7.189384028</v>
      </c>
      <c r="H68" s="5">
        <v>1.500324</v>
      </c>
      <c r="I68" s="1">
        <v>22.19537</v>
      </c>
      <c r="J68" s="1">
        <v>1.18</v>
      </c>
      <c r="K68" s="1">
        <v>21.35</v>
      </c>
      <c r="L68" s="1">
        <v>17.0</v>
      </c>
      <c r="M68" s="1">
        <v>3.6</v>
      </c>
      <c r="N68" s="1" t="s">
        <v>19</v>
      </c>
      <c r="O68" s="3">
        <v>23.07692</v>
      </c>
    </row>
    <row r="69">
      <c r="A69" s="1" t="s">
        <v>15</v>
      </c>
      <c r="B69" s="1" t="s">
        <v>24</v>
      </c>
      <c r="C69" s="1">
        <v>2015.0</v>
      </c>
      <c r="D69" s="1">
        <v>3.3</v>
      </c>
      <c r="E69" s="2">
        <f>100-30</f>
        <v>70</v>
      </c>
      <c r="F69" s="3">
        <v>4.217942</v>
      </c>
      <c r="G69" s="1">
        <v>2.529328173</v>
      </c>
      <c r="H69" s="3">
        <v>1.402501</v>
      </c>
      <c r="I69" s="1">
        <v>22.36275</v>
      </c>
      <c r="J69" s="1">
        <v>1.03</v>
      </c>
      <c r="K69" s="1">
        <v>20.0</v>
      </c>
      <c r="L69" s="1">
        <v>18.0</v>
      </c>
      <c r="M69" s="1">
        <v>3.8</v>
      </c>
      <c r="N69" s="1" t="s">
        <v>19</v>
      </c>
      <c r="O69" s="3">
        <v>22.38095</v>
      </c>
    </row>
    <row r="70">
      <c r="A70" s="1" t="s">
        <v>15</v>
      </c>
      <c r="B70" s="1" t="s">
        <v>24</v>
      </c>
      <c r="C70" s="1">
        <v>2016.0</v>
      </c>
      <c r="D70" s="1">
        <v>2.14</v>
      </c>
      <c r="E70" s="2">
        <f t="shared" ref="E70:E71" si="8">100-32</f>
        <v>68</v>
      </c>
      <c r="F70" s="3">
        <v>6.573838</v>
      </c>
      <c r="G70" s="1">
        <v>3.765119164</v>
      </c>
      <c r="H70" s="3">
        <v>1.302164</v>
      </c>
      <c r="I70" s="1">
        <v>22.56968</v>
      </c>
      <c r="J70" s="1">
        <v>0.93</v>
      </c>
      <c r="K70" s="1">
        <v>19.58</v>
      </c>
      <c r="L70" s="1">
        <v>19.0</v>
      </c>
      <c r="M70" s="1">
        <v>3.3</v>
      </c>
      <c r="N70" s="1" t="s">
        <v>19</v>
      </c>
      <c r="O70" s="3">
        <v>17.61905</v>
      </c>
    </row>
    <row r="71">
      <c r="A71" s="1" t="s">
        <v>15</v>
      </c>
      <c r="B71" s="1" t="s">
        <v>24</v>
      </c>
      <c r="C71" s="1">
        <v>2017.0</v>
      </c>
      <c r="D71" s="1">
        <v>1.54</v>
      </c>
      <c r="E71" s="2">
        <f t="shared" si="8"/>
        <v>68</v>
      </c>
      <c r="F71" s="3">
        <v>4.432626</v>
      </c>
      <c r="G71" s="1">
        <v>4.08537368</v>
      </c>
      <c r="H71" s="3">
        <v>1.4141</v>
      </c>
      <c r="I71" s="1">
        <v>22.74025</v>
      </c>
      <c r="J71" s="1">
        <v>0.87</v>
      </c>
      <c r="K71" s="1">
        <v>19.26</v>
      </c>
      <c r="L71" s="1">
        <v>20.0</v>
      </c>
      <c r="M71" s="1">
        <v>2.14</v>
      </c>
      <c r="N71" s="1" t="s">
        <v>19</v>
      </c>
      <c r="O71" s="3">
        <v>21.90476</v>
      </c>
    </row>
    <row r="72">
      <c r="A72" s="1" t="s">
        <v>15</v>
      </c>
      <c r="B72" s="1" t="s">
        <v>24</v>
      </c>
      <c r="C72" s="1">
        <v>2018.0</v>
      </c>
      <c r="D72" s="1">
        <v>1.34</v>
      </c>
      <c r="E72" s="2">
        <f>100-33</f>
        <v>67</v>
      </c>
      <c r="F72" s="3">
        <v>6.151703</v>
      </c>
      <c r="G72" s="1">
        <v>5.078057259</v>
      </c>
      <c r="H72" s="3">
        <v>1.623715</v>
      </c>
      <c r="I72" s="1">
        <v>22.77096</v>
      </c>
      <c r="J72" s="1">
        <v>1.04</v>
      </c>
      <c r="K72" s="1">
        <v>23.77</v>
      </c>
      <c r="L72" s="1">
        <v>21.0</v>
      </c>
      <c r="M72" s="1">
        <v>1.54</v>
      </c>
      <c r="N72" s="1" t="s">
        <v>19</v>
      </c>
      <c r="O72" s="3">
        <v>24.28572</v>
      </c>
    </row>
    <row r="73">
      <c r="A73" s="1" t="s">
        <v>15</v>
      </c>
      <c r="B73" s="1" t="s">
        <v>24</v>
      </c>
      <c r="C73" s="1">
        <v>2019.0</v>
      </c>
      <c r="D73" s="1">
        <v>1.78</v>
      </c>
      <c r="E73" s="2">
        <f>100-32</f>
        <v>68</v>
      </c>
      <c r="F73" s="3">
        <v>2.497637</v>
      </c>
      <c r="G73" s="1">
        <v>10.5783618</v>
      </c>
      <c r="H73" s="3">
        <v>1.691871</v>
      </c>
      <c r="I73" s="1">
        <v>22.70216</v>
      </c>
      <c r="J73" s="1">
        <v>1.48</v>
      </c>
      <c r="K73" s="1">
        <v>30.7</v>
      </c>
      <c r="L73" s="1">
        <v>22.0</v>
      </c>
      <c r="M73" s="1">
        <v>1.34</v>
      </c>
      <c r="N73" s="1" t="s">
        <v>19</v>
      </c>
      <c r="O73" s="3">
        <v>20.95238</v>
      </c>
    </row>
    <row r="74">
      <c r="A74" s="1" t="s">
        <v>15</v>
      </c>
      <c r="B74" s="1" t="s">
        <v>24</v>
      </c>
      <c r="C74" s="1">
        <v>2020.0</v>
      </c>
      <c r="D74" s="1">
        <v>2.81</v>
      </c>
      <c r="E74" s="1">
        <f>100-31</f>
        <v>69</v>
      </c>
      <c r="F74" s="3">
        <v>-1.27409</v>
      </c>
      <c r="G74" s="1">
        <v>9.739993139</v>
      </c>
      <c r="H74" s="3">
        <v>1.803751</v>
      </c>
      <c r="I74" s="1">
        <v>22.94483</v>
      </c>
      <c r="J74" s="1">
        <v>1.7</v>
      </c>
      <c r="K74" s="1">
        <v>34.6</v>
      </c>
      <c r="L74" s="1">
        <v>23.0</v>
      </c>
      <c r="M74" s="1">
        <v>1.78</v>
      </c>
      <c r="N74" s="1" t="s">
        <v>19</v>
      </c>
      <c r="O74" s="3">
        <v>21.90476</v>
      </c>
    </row>
    <row r="75">
      <c r="A75" s="1" t="s">
        <v>15</v>
      </c>
      <c r="B75" s="1" t="s">
        <v>24</v>
      </c>
      <c r="C75" s="1">
        <v>2021.0</v>
      </c>
      <c r="D75" s="1">
        <v>1.86</v>
      </c>
      <c r="E75" s="2">
        <f>100-28</f>
        <v>72</v>
      </c>
      <c r="F75" s="3">
        <v>6.513886</v>
      </c>
      <c r="G75" s="1">
        <v>9.496210561</v>
      </c>
      <c r="H75" s="3">
        <v>1.886778</v>
      </c>
      <c r="I75" s="1">
        <v>23.09064</v>
      </c>
      <c r="J75" s="1">
        <v>1.7</v>
      </c>
      <c r="K75" s="1">
        <v>36.4</v>
      </c>
      <c r="L75" s="1">
        <v>24.0</v>
      </c>
      <c r="M75" s="1">
        <v>2.81</v>
      </c>
      <c r="N75" s="1" t="s">
        <v>19</v>
      </c>
      <c r="O75" s="3">
        <v>23.33333</v>
      </c>
    </row>
    <row r="76">
      <c r="A76" s="1" t="s">
        <v>15</v>
      </c>
      <c r="B76" s="1" t="s">
        <v>24</v>
      </c>
      <c r="C76" s="1">
        <v>2022.0</v>
      </c>
      <c r="D76" s="1">
        <v>1.34</v>
      </c>
      <c r="E76" s="2">
        <f>100-27</f>
        <v>73</v>
      </c>
      <c r="F76" s="5">
        <v>3.01870267857143</v>
      </c>
      <c r="G76" s="6">
        <v>10.5023814423571</v>
      </c>
      <c r="H76" s="5">
        <v>1.90440928571429</v>
      </c>
      <c r="I76" s="1">
        <v>23.16155</v>
      </c>
      <c r="J76" s="1">
        <v>2.01</v>
      </c>
      <c r="K76" s="1">
        <v>44.59</v>
      </c>
      <c r="L76" s="1">
        <v>25.0</v>
      </c>
      <c r="M76" s="1">
        <v>1.86</v>
      </c>
      <c r="N76" s="1" t="s">
        <v>19</v>
      </c>
      <c r="O76" s="3">
        <v>22.64151</v>
      </c>
    </row>
    <row r="77">
      <c r="A77" s="1" t="s">
        <v>15</v>
      </c>
      <c r="B77" s="1" t="s">
        <v>24</v>
      </c>
      <c r="C77" s="1">
        <v>2023.0</v>
      </c>
      <c r="D77" s="1">
        <v>1.71</v>
      </c>
      <c r="E77" s="2">
        <f>100-29</f>
        <v>71</v>
      </c>
      <c r="F77" s="3">
        <v>2.76647077380953</v>
      </c>
      <c r="G77" s="1">
        <v>11.3789709905476</v>
      </c>
      <c r="H77" s="3">
        <v>1.97691123809524</v>
      </c>
      <c r="I77" s="1">
        <v>23.09527</v>
      </c>
      <c r="J77" s="1">
        <v>3.02</v>
      </c>
      <c r="K77" s="1">
        <v>56.27</v>
      </c>
      <c r="L77" s="1">
        <v>26.0</v>
      </c>
      <c r="M77" s="1">
        <v>1.34</v>
      </c>
      <c r="N77" s="1" t="s">
        <v>19</v>
      </c>
      <c r="O77" s="3">
        <v>18.86792</v>
      </c>
    </row>
    <row r="78">
      <c r="A78" s="1" t="s">
        <v>15</v>
      </c>
      <c r="B78" s="1" t="s">
        <v>24</v>
      </c>
      <c r="C78" s="1">
        <v>2024.0</v>
      </c>
      <c r="D78" s="1">
        <v>1.62</v>
      </c>
      <c r="E78" s="2">
        <f>100-27</f>
        <v>73</v>
      </c>
      <c r="F78" s="3">
        <v>2.51423886904762</v>
      </c>
      <c r="G78" s="1">
        <v>12.2555605387381</v>
      </c>
      <c r="H78" s="3">
        <v>2.04941319047619</v>
      </c>
      <c r="I78" s="1">
        <v>23.36432</v>
      </c>
      <c r="J78" s="1">
        <v>2.94</v>
      </c>
      <c r="K78" s="1">
        <v>47.01</v>
      </c>
      <c r="L78" s="1">
        <v>27.0</v>
      </c>
      <c r="M78" s="1">
        <v>1.71</v>
      </c>
      <c r="N78" s="1" t="s">
        <v>19</v>
      </c>
    </row>
    <row r="79">
      <c r="A79" s="1" t="s">
        <v>15</v>
      </c>
      <c r="B79" s="1" t="s">
        <v>25</v>
      </c>
      <c r="C79" s="1">
        <v>2014.0</v>
      </c>
      <c r="D79" s="1">
        <v>15.79</v>
      </c>
      <c r="E79" s="4">
        <f>100-29</f>
        <v>71</v>
      </c>
      <c r="F79" s="5">
        <v>4.116428</v>
      </c>
      <c r="G79" s="6">
        <v>7.189384028</v>
      </c>
      <c r="H79" s="5">
        <v>1.500324</v>
      </c>
      <c r="I79" s="1">
        <v>22.21117</v>
      </c>
      <c r="J79" s="1">
        <v>0.95</v>
      </c>
      <c r="K79" s="1">
        <v>22.35</v>
      </c>
      <c r="L79" s="1">
        <v>23.0</v>
      </c>
      <c r="M79" s="1">
        <v>17.23</v>
      </c>
      <c r="N79" s="1" t="s">
        <v>19</v>
      </c>
      <c r="O79" s="3">
        <v>23.07692</v>
      </c>
    </row>
    <row r="80">
      <c r="A80" s="1" t="s">
        <v>15</v>
      </c>
      <c r="B80" s="1" t="s">
        <v>25</v>
      </c>
      <c r="C80" s="1">
        <v>2015.0</v>
      </c>
      <c r="D80" s="1">
        <v>13.78</v>
      </c>
      <c r="E80" s="2">
        <f>100-30</f>
        <v>70</v>
      </c>
      <c r="F80" s="3">
        <v>4.217942</v>
      </c>
      <c r="G80" s="1">
        <v>2.529328173</v>
      </c>
      <c r="H80" s="3">
        <v>1.402501</v>
      </c>
      <c r="I80" s="1">
        <v>22.36275</v>
      </c>
      <c r="J80" s="1">
        <v>1.03</v>
      </c>
      <c r="K80" s="1">
        <v>24.54</v>
      </c>
      <c r="L80" s="1">
        <v>24.0</v>
      </c>
      <c r="M80" s="1">
        <v>15.79</v>
      </c>
      <c r="N80" s="1" t="s">
        <v>19</v>
      </c>
      <c r="O80" s="3">
        <v>22.38095</v>
      </c>
    </row>
    <row r="81">
      <c r="A81" s="1" t="s">
        <v>15</v>
      </c>
      <c r="B81" s="1" t="s">
        <v>25</v>
      </c>
      <c r="C81" s="1">
        <v>2016.0</v>
      </c>
      <c r="D81" s="1">
        <v>10.89</v>
      </c>
      <c r="E81" s="2">
        <f t="shared" ref="E81:E82" si="9">100-32</f>
        <v>68</v>
      </c>
      <c r="F81" s="3">
        <v>6.573838</v>
      </c>
      <c r="G81" s="1">
        <v>3.765119164</v>
      </c>
      <c r="H81" s="3">
        <v>1.302164</v>
      </c>
      <c r="I81" s="1">
        <v>22.50287</v>
      </c>
      <c r="J81" s="1">
        <v>0.9</v>
      </c>
      <c r="K81" s="1">
        <v>22.14</v>
      </c>
      <c r="L81" s="1">
        <v>25.0</v>
      </c>
      <c r="M81" s="1">
        <v>13.78</v>
      </c>
      <c r="N81" s="1" t="s">
        <v>19</v>
      </c>
      <c r="O81" s="3">
        <v>17.61905</v>
      </c>
    </row>
    <row r="82">
      <c r="A82" s="1" t="s">
        <v>15</v>
      </c>
      <c r="B82" s="1" t="s">
        <v>25</v>
      </c>
      <c r="C82" s="1">
        <v>2017.0</v>
      </c>
      <c r="D82" s="1">
        <v>9.41</v>
      </c>
      <c r="E82" s="2">
        <f t="shared" si="9"/>
        <v>68</v>
      </c>
      <c r="F82" s="3">
        <v>4.432626</v>
      </c>
      <c r="G82" s="1">
        <v>4.08537368</v>
      </c>
      <c r="H82" s="3">
        <v>1.4141</v>
      </c>
      <c r="I82" s="1">
        <v>22.5565</v>
      </c>
      <c r="J82" s="1">
        <v>0.83</v>
      </c>
      <c r="K82" s="1">
        <v>19.97</v>
      </c>
      <c r="L82" s="1">
        <v>26.0</v>
      </c>
      <c r="M82" s="1">
        <v>10.89</v>
      </c>
      <c r="N82" s="1" t="s">
        <v>19</v>
      </c>
      <c r="O82" s="3">
        <v>21.90476</v>
      </c>
    </row>
    <row r="83">
      <c r="A83" s="1" t="s">
        <v>15</v>
      </c>
      <c r="B83" s="1" t="s">
        <v>25</v>
      </c>
      <c r="C83" s="1">
        <v>2018.0</v>
      </c>
      <c r="D83" s="1">
        <v>7.22</v>
      </c>
      <c r="E83" s="2">
        <f>100-33</f>
        <v>67</v>
      </c>
      <c r="F83" s="3">
        <v>6.151703</v>
      </c>
      <c r="G83" s="1">
        <v>5.078057259</v>
      </c>
      <c r="H83" s="3">
        <v>1.623715</v>
      </c>
      <c r="I83" s="1">
        <v>22.49103</v>
      </c>
      <c r="J83" s="1">
        <v>0.65</v>
      </c>
      <c r="K83" s="1">
        <v>14.98</v>
      </c>
      <c r="L83" s="1">
        <v>27.0</v>
      </c>
      <c r="M83" s="1">
        <v>9.41</v>
      </c>
      <c r="N83" s="1" t="s">
        <v>19</v>
      </c>
      <c r="O83" s="3">
        <v>24.28572</v>
      </c>
    </row>
    <row r="84">
      <c r="A84" s="1" t="s">
        <v>15</v>
      </c>
      <c r="B84" s="1" t="s">
        <v>25</v>
      </c>
      <c r="C84" s="1">
        <v>2019.0</v>
      </c>
      <c r="D84" s="1">
        <v>7.06</v>
      </c>
      <c r="E84" s="2">
        <f>100-32</f>
        <v>68</v>
      </c>
      <c r="F84" s="3">
        <v>2.497637</v>
      </c>
      <c r="G84" s="1">
        <v>10.5783618</v>
      </c>
      <c r="H84" s="3">
        <v>1.691871</v>
      </c>
      <c r="I84" s="1">
        <v>22.40541</v>
      </c>
      <c r="J84" s="1">
        <v>0.91</v>
      </c>
      <c r="K84" s="1">
        <v>20.1</v>
      </c>
      <c r="L84" s="1">
        <v>28.0</v>
      </c>
      <c r="M84" s="1">
        <v>7.22</v>
      </c>
      <c r="N84" s="1" t="s">
        <v>19</v>
      </c>
      <c r="O84" s="3">
        <v>20.95238</v>
      </c>
    </row>
    <row r="85">
      <c r="A85" s="1" t="s">
        <v>15</v>
      </c>
      <c r="B85" s="1" t="s">
        <v>25</v>
      </c>
      <c r="C85" s="1">
        <v>2020.0</v>
      </c>
      <c r="D85" s="1">
        <v>6.81</v>
      </c>
      <c r="E85" s="1">
        <f>100-31</f>
        <v>69</v>
      </c>
      <c r="F85" s="3">
        <v>-1.27409</v>
      </c>
      <c r="G85" s="1">
        <v>9.739993139</v>
      </c>
      <c r="H85" s="3">
        <v>1.803751</v>
      </c>
      <c r="I85" s="1">
        <v>22.51776</v>
      </c>
      <c r="J85" s="1">
        <v>1.18</v>
      </c>
      <c r="K85" s="1">
        <v>25.45</v>
      </c>
      <c r="L85" s="1">
        <v>29.0</v>
      </c>
      <c r="M85" s="1">
        <v>7.06</v>
      </c>
      <c r="N85" s="1" t="s">
        <v>19</v>
      </c>
      <c r="O85" s="3">
        <v>21.90476</v>
      </c>
    </row>
    <row r="86">
      <c r="A86" s="1" t="s">
        <v>15</v>
      </c>
      <c r="B86" s="1" t="s">
        <v>25</v>
      </c>
      <c r="C86" s="1">
        <v>2021.0</v>
      </c>
      <c r="D86" s="1">
        <v>6.14</v>
      </c>
      <c r="E86" s="2">
        <f>100-28</f>
        <v>72</v>
      </c>
      <c r="F86" s="3">
        <v>6.513886</v>
      </c>
      <c r="G86" s="1">
        <v>9.496210561</v>
      </c>
      <c r="H86" s="3">
        <v>1.886778</v>
      </c>
      <c r="I86" s="1">
        <v>22.67464</v>
      </c>
      <c r="J86" s="1">
        <v>0.86</v>
      </c>
      <c r="K86" s="1">
        <v>19.24</v>
      </c>
      <c r="L86" s="1">
        <v>30.0</v>
      </c>
      <c r="M86" s="1">
        <v>6.81</v>
      </c>
      <c r="N86" s="1" t="s">
        <v>19</v>
      </c>
      <c r="O86" s="3">
        <v>23.33333</v>
      </c>
    </row>
    <row r="87">
      <c r="A87" s="1" t="s">
        <v>15</v>
      </c>
      <c r="B87" s="1" t="s">
        <v>25</v>
      </c>
      <c r="C87" s="1">
        <v>2022.0</v>
      </c>
      <c r="D87" s="1">
        <v>5.07</v>
      </c>
      <c r="E87" s="2">
        <f>100-27</f>
        <v>73</v>
      </c>
      <c r="F87" s="5">
        <v>3.01870267857143</v>
      </c>
      <c r="G87" s="6">
        <v>10.5023814423571</v>
      </c>
      <c r="H87" s="5">
        <v>1.90440928571429</v>
      </c>
      <c r="I87" s="1">
        <v>22.63752</v>
      </c>
      <c r="J87" s="1">
        <v>1.01</v>
      </c>
      <c r="K87" s="1">
        <v>22.81</v>
      </c>
      <c r="L87" s="1">
        <v>31.0</v>
      </c>
      <c r="M87" s="1">
        <v>6.14</v>
      </c>
      <c r="N87" s="1" t="s">
        <v>19</v>
      </c>
      <c r="O87" s="3">
        <v>22.64151</v>
      </c>
    </row>
    <row r="88">
      <c r="A88" s="1" t="s">
        <v>15</v>
      </c>
      <c r="B88" s="1" t="s">
        <v>25</v>
      </c>
      <c r="C88" s="1">
        <v>2023.0</v>
      </c>
      <c r="D88" s="1">
        <v>4.39</v>
      </c>
      <c r="E88" s="2">
        <f>100-29</f>
        <v>71</v>
      </c>
      <c r="F88" s="3">
        <v>2.76647077380953</v>
      </c>
      <c r="G88" s="1">
        <v>11.3789709905476</v>
      </c>
      <c r="H88" s="3">
        <v>1.97691123809524</v>
      </c>
      <c r="I88" s="1">
        <v>22.74611</v>
      </c>
      <c r="J88" s="1">
        <v>1.17</v>
      </c>
      <c r="K88" s="1">
        <v>26.46</v>
      </c>
      <c r="L88" s="1">
        <v>32.0</v>
      </c>
      <c r="M88" s="1">
        <v>5.07</v>
      </c>
      <c r="N88" s="1" t="s">
        <v>19</v>
      </c>
      <c r="O88" s="3">
        <v>18.86792</v>
      </c>
    </row>
    <row r="89">
      <c r="A89" s="1" t="s">
        <v>15</v>
      </c>
      <c r="B89" s="1" t="s">
        <v>25</v>
      </c>
      <c r="C89" s="1">
        <v>2024.0</v>
      </c>
      <c r="D89" s="1">
        <v>4.7</v>
      </c>
      <c r="E89" s="2">
        <f>100-27</f>
        <v>73</v>
      </c>
      <c r="F89" s="3">
        <v>2.51423886904762</v>
      </c>
      <c r="G89" s="1">
        <v>12.2555605387381</v>
      </c>
      <c r="H89" s="3">
        <v>2.04941319047619</v>
      </c>
      <c r="I89" s="1">
        <v>22.91917</v>
      </c>
      <c r="J89" s="1">
        <v>0.93</v>
      </c>
      <c r="K89" s="1">
        <v>21.23</v>
      </c>
      <c r="L89" s="1">
        <v>33.0</v>
      </c>
      <c r="M89" s="1">
        <v>4.39</v>
      </c>
      <c r="N89" s="1" t="s">
        <v>19</v>
      </c>
    </row>
    <row r="90">
      <c r="A90" s="1" t="s">
        <v>15</v>
      </c>
      <c r="B90" s="1" t="s">
        <v>26</v>
      </c>
      <c r="C90" s="1">
        <v>2014.0</v>
      </c>
      <c r="D90" s="1">
        <v>14.31</v>
      </c>
      <c r="E90" s="2">
        <f>100-29</f>
        <v>71</v>
      </c>
      <c r="F90" s="3">
        <v>4.116428</v>
      </c>
      <c r="G90" s="1">
        <v>7.189384028</v>
      </c>
      <c r="H90" s="3">
        <v>1.500324</v>
      </c>
      <c r="I90" s="1">
        <v>22.06924</v>
      </c>
      <c r="J90" s="1">
        <v>0.67</v>
      </c>
      <c r="K90" s="1">
        <v>11.68</v>
      </c>
      <c r="L90" s="1">
        <v>27.0</v>
      </c>
      <c r="M90" s="1">
        <v>13.52</v>
      </c>
      <c r="N90" s="1" t="s">
        <v>19</v>
      </c>
      <c r="O90" s="3">
        <v>23.07692</v>
      </c>
    </row>
    <row r="91">
      <c r="A91" s="1" t="s">
        <v>15</v>
      </c>
      <c r="B91" s="1" t="s">
        <v>26</v>
      </c>
      <c r="C91" s="1">
        <v>2015.0</v>
      </c>
      <c r="D91" s="1">
        <v>14.82</v>
      </c>
      <c r="E91" s="2">
        <f>100-30</f>
        <v>70</v>
      </c>
      <c r="F91" s="3">
        <v>4.217942</v>
      </c>
      <c r="G91" s="1">
        <v>2.529328173</v>
      </c>
      <c r="H91" s="3">
        <v>1.402501</v>
      </c>
      <c r="I91" s="1">
        <v>22.14286</v>
      </c>
      <c r="J91" s="1">
        <v>1.03</v>
      </c>
      <c r="K91" s="1">
        <v>17.63</v>
      </c>
      <c r="L91" s="1">
        <v>28.0</v>
      </c>
      <c r="M91" s="1">
        <v>14.31</v>
      </c>
      <c r="N91" s="1" t="s">
        <v>19</v>
      </c>
      <c r="O91" s="3">
        <v>22.38095</v>
      </c>
    </row>
    <row r="92">
      <c r="A92" s="1" t="s">
        <v>15</v>
      </c>
      <c r="B92" s="1" t="s">
        <v>26</v>
      </c>
      <c r="C92" s="1">
        <v>2016.0</v>
      </c>
      <c r="D92" s="1">
        <v>13.07</v>
      </c>
      <c r="E92" s="2">
        <f t="shared" ref="E92:E93" si="10">100-32</f>
        <v>68</v>
      </c>
      <c r="F92" s="3">
        <v>6.573838</v>
      </c>
      <c r="G92" s="1">
        <v>3.765119164</v>
      </c>
      <c r="H92" s="3">
        <v>1.302164</v>
      </c>
      <c r="I92" s="1">
        <v>22.18798</v>
      </c>
      <c r="J92" s="1">
        <v>0.98</v>
      </c>
      <c r="K92" s="1">
        <v>15.6</v>
      </c>
      <c r="L92" s="1">
        <v>29.0</v>
      </c>
      <c r="M92" s="1">
        <v>14.82</v>
      </c>
      <c r="N92" s="1" t="s">
        <v>19</v>
      </c>
      <c r="O92" s="3">
        <v>17.61905</v>
      </c>
    </row>
    <row r="93">
      <c r="A93" s="1" t="s">
        <v>15</v>
      </c>
      <c r="B93" s="1" t="s">
        <v>26</v>
      </c>
      <c r="C93" s="1">
        <v>2017.0</v>
      </c>
      <c r="D93" s="1">
        <v>10.68</v>
      </c>
      <c r="E93" s="2">
        <f t="shared" si="10"/>
        <v>68</v>
      </c>
      <c r="F93" s="3">
        <v>4.432626</v>
      </c>
      <c r="G93" s="1">
        <v>4.08537368</v>
      </c>
      <c r="H93" s="3">
        <v>1.4141</v>
      </c>
      <c r="I93" s="1">
        <v>22.27387</v>
      </c>
      <c r="J93" s="1">
        <v>0.96</v>
      </c>
      <c r="K93" s="1">
        <v>14.44</v>
      </c>
      <c r="L93" s="1">
        <v>30.0</v>
      </c>
      <c r="M93" s="1">
        <v>13.07</v>
      </c>
      <c r="N93" s="1" t="s">
        <v>19</v>
      </c>
      <c r="O93" s="3">
        <v>21.90476</v>
      </c>
    </row>
    <row r="94">
      <c r="A94" s="1" t="s">
        <v>15</v>
      </c>
      <c r="B94" s="1" t="s">
        <v>26</v>
      </c>
      <c r="C94" s="1">
        <v>2018.0</v>
      </c>
      <c r="D94" s="1">
        <v>8.33</v>
      </c>
      <c r="E94" s="2">
        <f>100-33</f>
        <v>67</v>
      </c>
      <c r="F94" s="3">
        <v>6.151703</v>
      </c>
      <c r="G94" s="1">
        <v>5.078057259</v>
      </c>
      <c r="H94" s="3">
        <v>1.623715</v>
      </c>
      <c r="I94" s="1">
        <v>22.32455</v>
      </c>
      <c r="J94" s="1">
        <v>0.88</v>
      </c>
      <c r="K94" s="1">
        <v>13.43</v>
      </c>
      <c r="L94" s="1">
        <v>31.0</v>
      </c>
      <c r="M94" s="1">
        <v>10.68</v>
      </c>
      <c r="N94" s="1" t="s">
        <v>19</v>
      </c>
      <c r="O94" s="3">
        <v>24.28572</v>
      </c>
    </row>
    <row r="95">
      <c r="A95" s="1" t="s">
        <v>15</v>
      </c>
      <c r="B95" s="1" t="s">
        <v>26</v>
      </c>
      <c r="C95" s="1">
        <v>2019.0</v>
      </c>
      <c r="D95" s="1">
        <v>9.11</v>
      </c>
      <c r="E95" s="2">
        <f>100-32</f>
        <v>68</v>
      </c>
      <c r="F95" s="3">
        <v>2.497637</v>
      </c>
      <c r="G95" s="1">
        <v>10.5783618</v>
      </c>
      <c r="H95" s="3">
        <v>1.691871</v>
      </c>
      <c r="I95" s="1">
        <v>22.12535</v>
      </c>
      <c r="J95" s="1">
        <v>0.98</v>
      </c>
      <c r="K95" s="1">
        <v>14.57</v>
      </c>
      <c r="L95" s="1">
        <v>32.0</v>
      </c>
      <c r="M95" s="1">
        <v>8.33</v>
      </c>
      <c r="N95" s="1" t="s">
        <v>19</v>
      </c>
      <c r="O95" s="3">
        <v>20.95238</v>
      </c>
    </row>
    <row r="96">
      <c r="A96" s="1" t="s">
        <v>15</v>
      </c>
      <c r="B96" s="1" t="s">
        <v>26</v>
      </c>
      <c r="C96" s="1">
        <v>2020.0</v>
      </c>
      <c r="D96" s="1">
        <v>7.72</v>
      </c>
      <c r="E96" s="1">
        <f>100-31</f>
        <v>69</v>
      </c>
      <c r="F96" s="3">
        <v>-1.27409</v>
      </c>
      <c r="G96" s="1">
        <v>9.739993139</v>
      </c>
      <c r="H96" s="3">
        <v>1.803751</v>
      </c>
      <c r="I96" s="1">
        <v>22.18243</v>
      </c>
      <c r="J96" s="1">
        <v>0.97</v>
      </c>
      <c r="K96" s="1">
        <v>13.62</v>
      </c>
      <c r="L96" s="1">
        <v>33.0</v>
      </c>
      <c r="M96" s="1">
        <v>9.11</v>
      </c>
      <c r="N96" s="1" t="s">
        <v>19</v>
      </c>
      <c r="O96" s="3">
        <v>21.90476</v>
      </c>
    </row>
    <row r="97">
      <c r="A97" s="1" t="s">
        <v>15</v>
      </c>
      <c r="B97" s="1" t="s">
        <v>26</v>
      </c>
      <c r="C97" s="1">
        <v>2021.0</v>
      </c>
      <c r="D97" s="1">
        <v>5.62</v>
      </c>
      <c r="E97" s="2">
        <f>100-28</f>
        <v>72</v>
      </c>
      <c r="F97" s="3">
        <v>6.513886</v>
      </c>
      <c r="G97" s="1">
        <v>9.496210561</v>
      </c>
      <c r="H97" s="3">
        <v>1.886778</v>
      </c>
      <c r="I97" s="1">
        <v>22.30406</v>
      </c>
      <c r="J97" s="1">
        <v>1.03</v>
      </c>
      <c r="K97" s="1">
        <v>14.84</v>
      </c>
      <c r="L97" s="1">
        <v>34.0</v>
      </c>
      <c r="M97" s="1">
        <v>7.72</v>
      </c>
      <c r="N97" s="1" t="s">
        <v>19</v>
      </c>
      <c r="O97" s="3">
        <v>23.33333</v>
      </c>
    </row>
    <row r="98">
      <c r="A98" s="1" t="s">
        <v>15</v>
      </c>
      <c r="B98" s="1" t="s">
        <v>26</v>
      </c>
      <c r="C98" s="1">
        <v>2022.0</v>
      </c>
      <c r="D98" s="1">
        <v>4.58</v>
      </c>
      <c r="E98" s="2">
        <f>100-27</f>
        <v>73</v>
      </c>
      <c r="F98" s="3">
        <v>4.778107</v>
      </c>
      <c r="G98" s="1">
        <v>19.87385996</v>
      </c>
      <c r="H98" s="3">
        <v>1.747997</v>
      </c>
      <c r="I98" s="1">
        <v>22.28664</v>
      </c>
      <c r="J98" s="1">
        <v>1.16</v>
      </c>
      <c r="K98" s="1">
        <v>19.01</v>
      </c>
      <c r="L98" s="1">
        <v>35.0</v>
      </c>
      <c r="M98" s="1">
        <v>5.62</v>
      </c>
      <c r="N98" s="1" t="s">
        <v>19</v>
      </c>
      <c r="O98" s="3">
        <v>22.64151</v>
      </c>
    </row>
    <row r="99">
      <c r="A99" s="1" t="s">
        <v>15</v>
      </c>
      <c r="B99" s="1" t="s">
        <v>26</v>
      </c>
      <c r="C99" s="1">
        <v>2023.0</v>
      </c>
      <c r="D99" s="1">
        <v>3.84</v>
      </c>
      <c r="E99" s="2">
        <f>100-29</f>
        <v>71</v>
      </c>
      <c r="F99" s="3">
        <v>-0.03984</v>
      </c>
      <c r="G99" s="1">
        <v>30.76812807</v>
      </c>
      <c r="H99" s="3">
        <v>1.548805</v>
      </c>
      <c r="I99" s="1">
        <v>22.30748</v>
      </c>
      <c r="J99" s="1">
        <v>1.64</v>
      </c>
      <c r="K99" s="1">
        <v>29.81</v>
      </c>
      <c r="L99" s="1">
        <v>36.0</v>
      </c>
      <c r="M99" s="1">
        <v>4.58</v>
      </c>
      <c r="N99" s="1" t="s">
        <v>19</v>
      </c>
      <c r="O99" s="3">
        <v>18.86792</v>
      </c>
    </row>
    <row r="100">
      <c r="A100" s="1" t="s">
        <v>15</v>
      </c>
      <c r="B100" s="1" t="s">
        <v>26</v>
      </c>
      <c r="C100" s="1">
        <v>2024.0</v>
      </c>
      <c r="D100" s="1">
        <v>3.61</v>
      </c>
      <c r="E100" s="2">
        <f>100-27</f>
        <v>73</v>
      </c>
      <c r="F100" s="3">
        <v>3.234784</v>
      </c>
      <c r="G100" s="1">
        <v>12.63253185</v>
      </c>
      <c r="H100" s="3">
        <v>1.509599</v>
      </c>
      <c r="I100" s="1">
        <v>22.45136</v>
      </c>
      <c r="J100" s="1">
        <v>1.57</v>
      </c>
      <c r="K100" s="1">
        <v>28.67</v>
      </c>
      <c r="L100" s="1">
        <v>37.0</v>
      </c>
      <c r="M100" s="1">
        <v>3.84</v>
      </c>
      <c r="N100" s="1" t="s">
        <v>19</v>
      </c>
    </row>
    <row r="101">
      <c r="A101" s="1" t="s">
        <v>15</v>
      </c>
      <c r="B101" s="1" t="s">
        <v>27</v>
      </c>
      <c r="C101" s="1">
        <v>2014.0</v>
      </c>
      <c r="D101" s="1">
        <v>28.23</v>
      </c>
      <c r="E101" s="2">
        <f>100-29</f>
        <v>71</v>
      </c>
      <c r="F101" s="3">
        <v>4.116428</v>
      </c>
      <c r="G101" s="1">
        <v>7.189384028</v>
      </c>
      <c r="H101" s="3">
        <v>1.500324</v>
      </c>
      <c r="I101" s="1">
        <v>22.1493</v>
      </c>
      <c r="J101" s="1">
        <v>0.66</v>
      </c>
      <c r="K101" s="1">
        <v>18.27</v>
      </c>
      <c r="L101" s="1">
        <v>25.0</v>
      </c>
      <c r="M101" s="1">
        <v>32.77</v>
      </c>
      <c r="N101" s="1" t="s">
        <v>17</v>
      </c>
      <c r="O101" s="3">
        <v>23.07692</v>
      </c>
    </row>
    <row r="102">
      <c r="A102" s="1" t="s">
        <v>15</v>
      </c>
      <c r="B102" s="1" t="s">
        <v>27</v>
      </c>
      <c r="C102" s="1">
        <v>2015.0</v>
      </c>
      <c r="D102" s="1">
        <v>22.8</v>
      </c>
      <c r="E102" s="2">
        <f>100-30</f>
        <v>70</v>
      </c>
      <c r="F102" s="3">
        <v>4.217942</v>
      </c>
      <c r="G102" s="1">
        <v>2.529328173</v>
      </c>
      <c r="H102" s="3">
        <v>1.402501</v>
      </c>
      <c r="I102" s="1">
        <v>22.2364</v>
      </c>
      <c r="J102" s="1">
        <v>1.06</v>
      </c>
      <c r="K102" s="1">
        <v>45.98</v>
      </c>
      <c r="L102" s="1">
        <v>26.0</v>
      </c>
      <c r="M102" s="1">
        <v>28.23</v>
      </c>
      <c r="N102" s="1" t="s">
        <v>17</v>
      </c>
      <c r="O102" s="3">
        <v>22.38095</v>
      </c>
    </row>
    <row r="103">
      <c r="A103" s="1" t="s">
        <v>15</v>
      </c>
      <c r="B103" s="1" t="s">
        <v>27</v>
      </c>
      <c r="C103" s="1">
        <v>2016.0</v>
      </c>
      <c r="D103" s="1">
        <v>18.7</v>
      </c>
      <c r="E103" s="2">
        <f t="shared" ref="E103:E104" si="11">100-32</f>
        <v>68</v>
      </c>
      <c r="F103" s="3">
        <v>6.573838</v>
      </c>
      <c r="G103" s="1">
        <v>3.765119164</v>
      </c>
      <c r="H103" s="3">
        <v>1.302164</v>
      </c>
      <c r="I103" s="1">
        <v>22.3795</v>
      </c>
      <c r="J103" s="1">
        <v>0.95</v>
      </c>
      <c r="K103" s="1">
        <v>32.78</v>
      </c>
      <c r="L103" s="1">
        <v>27.0</v>
      </c>
      <c r="M103" s="1">
        <v>22.8</v>
      </c>
      <c r="N103" s="1" t="s">
        <v>17</v>
      </c>
      <c r="O103" s="3">
        <v>17.61905</v>
      </c>
    </row>
    <row r="104">
      <c r="A104" s="1" t="s">
        <v>15</v>
      </c>
      <c r="B104" s="1" t="s">
        <v>27</v>
      </c>
      <c r="C104" s="1">
        <v>2017.0</v>
      </c>
      <c r="D104" s="1">
        <v>14.91</v>
      </c>
      <c r="E104" s="2">
        <f t="shared" si="11"/>
        <v>68</v>
      </c>
      <c r="F104" s="3">
        <v>4.432626</v>
      </c>
      <c r="G104" s="1">
        <v>4.08537368</v>
      </c>
      <c r="H104" s="3">
        <v>1.4141</v>
      </c>
      <c r="I104" s="1">
        <v>22.5588</v>
      </c>
      <c r="J104" s="1">
        <v>-0.55</v>
      </c>
      <c r="K104" s="1">
        <v>-15.07</v>
      </c>
      <c r="L104" s="1">
        <v>28.0</v>
      </c>
      <c r="M104" s="1">
        <v>18.7</v>
      </c>
      <c r="N104" s="1" t="s">
        <v>17</v>
      </c>
      <c r="O104" s="3">
        <v>21.90476</v>
      </c>
    </row>
    <row r="105">
      <c r="A105" s="1" t="s">
        <v>15</v>
      </c>
      <c r="B105" s="1" t="s">
        <v>27</v>
      </c>
      <c r="C105" s="1">
        <v>2018.0</v>
      </c>
      <c r="D105" s="1">
        <v>11.6</v>
      </c>
      <c r="E105" s="2">
        <f>100-33</f>
        <v>67</v>
      </c>
      <c r="F105" s="3">
        <v>6.151703</v>
      </c>
      <c r="G105" s="1">
        <v>5.078057259</v>
      </c>
      <c r="H105" s="3">
        <v>1.623715</v>
      </c>
      <c r="I105" s="1">
        <v>22.4993</v>
      </c>
      <c r="J105" s="1">
        <v>1.1</v>
      </c>
      <c r="K105" s="1">
        <v>24.68</v>
      </c>
      <c r="L105" s="1">
        <v>29.0</v>
      </c>
      <c r="M105" s="1">
        <v>14.91</v>
      </c>
      <c r="N105" s="1" t="s">
        <v>17</v>
      </c>
      <c r="O105" s="3">
        <v>24.28572</v>
      </c>
    </row>
    <row r="106">
      <c r="A106" s="1" t="s">
        <v>15</v>
      </c>
      <c r="B106" s="1" t="s">
        <v>27</v>
      </c>
      <c r="C106" s="1">
        <v>2019.0</v>
      </c>
      <c r="D106" s="1">
        <v>11.98</v>
      </c>
      <c r="E106" s="2">
        <f>100-32</f>
        <v>68</v>
      </c>
      <c r="F106" s="3">
        <v>2.497637</v>
      </c>
      <c r="G106" s="1">
        <v>10.5783618</v>
      </c>
      <c r="H106" s="3">
        <v>1.691871</v>
      </c>
      <c r="I106" s="1">
        <v>22.4464</v>
      </c>
      <c r="J106" s="1">
        <v>1.04</v>
      </c>
      <c r="K106" s="1">
        <v>21.77</v>
      </c>
      <c r="L106" s="1">
        <v>30.0</v>
      </c>
      <c r="M106" s="1">
        <v>11.6</v>
      </c>
      <c r="N106" s="1" t="s">
        <v>17</v>
      </c>
      <c r="O106" s="3">
        <v>20.95238</v>
      </c>
    </row>
    <row r="107">
      <c r="A107" s="1" t="s">
        <v>15</v>
      </c>
      <c r="B107" s="1" t="s">
        <v>27</v>
      </c>
      <c r="C107" s="1">
        <v>2020.0</v>
      </c>
      <c r="D107" s="1">
        <v>12.93</v>
      </c>
      <c r="E107" s="1">
        <f>100-31</f>
        <v>69</v>
      </c>
      <c r="F107" s="3">
        <v>-1.27409</v>
      </c>
      <c r="G107" s="1">
        <v>9.739993139</v>
      </c>
      <c r="H107" s="3">
        <v>1.803751</v>
      </c>
      <c r="I107" s="1">
        <v>22.6161</v>
      </c>
      <c r="J107" s="1">
        <v>0.71</v>
      </c>
      <c r="K107" s="1">
        <v>15.85</v>
      </c>
      <c r="L107" s="1">
        <v>31.0</v>
      </c>
      <c r="M107" s="1">
        <v>11.98</v>
      </c>
      <c r="N107" s="1" t="s">
        <v>17</v>
      </c>
      <c r="O107" s="3">
        <v>21.90476</v>
      </c>
    </row>
    <row r="108">
      <c r="A108" s="1" t="s">
        <v>15</v>
      </c>
      <c r="B108" s="1" t="s">
        <v>27</v>
      </c>
      <c r="C108" s="1">
        <v>2021.0</v>
      </c>
      <c r="D108" s="1">
        <v>9.74</v>
      </c>
      <c r="E108" s="2">
        <f>100-28</f>
        <v>72</v>
      </c>
      <c r="F108" s="3">
        <v>6.513886</v>
      </c>
      <c r="G108" s="1">
        <v>9.496210561</v>
      </c>
      <c r="H108" s="3">
        <v>1.886778</v>
      </c>
      <c r="I108" s="1">
        <v>22.6234</v>
      </c>
      <c r="J108" s="1">
        <v>1.09</v>
      </c>
      <c r="K108" s="1">
        <v>24.27</v>
      </c>
      <c r="L108" s="1">
        <v>32.0</v>
      </c>
      <c r="M108" s="1">
        <v>12.93</v>
      </c>
      <c r="N108" s="1" t="s">
        <v>17</v>
      </c>
      <c r="O108" s="3">
        <v>23.33333</v>
      </c>
    </row>
    <row r="109">
      <c r="A109" s="1" t="s">
        <v>15</v>
      </c>
      <c r="B109" s="1" t="s">
        <v>27</v>
      </c>
      <c r="C109" s="1">
        <v>2022.0</v>
      </c>
      <c r="D109" s="1">
        <v>8.13</v>
      </c>
      <c r="E109" s="2">
        <f>100-27</f>
        <v>73</v>
      </c>
      <c r="F109" s="3">
        <v>4.778107</v>
      </c>
      <c r="G109" s="1">
        <v>19.87385996</v>
      </c>
      <c r="H109" s="3">
        <v>1.747997</v>
      </c>
      <c r="I109" s="1">
        <v>22.6081</v>
      </c>
      <c r="J109" s="1">
        <v>0.81</v>
      </c>
      <c r="K109" s="1">
        <v>17.53</v>
      </c>
      <c r="L109" s="1">
        <v>33.0</v>
      </c>
      <c r="M109" s="1">
        <v>9.74</v>
      </c>
      <c r="N109" s="1" t="s">
        <v>17</v>
      </c>
      <c r="O109" s="3">
        <v>22.64151</v>
      </c>
    </row>
    <row r="110">
      <c r="A110" s="1" t="s">
        <v>15</v>
      </c>
      <c r="B110" s="1" t="s">
        <v>27</v>
      </c>
      <c r="C110" s="1">
        <v>2023.0</v>
      </c>
      <c r="D110" s="1">
        <v>5.99</v>
      </c>
      <c r="E110" s="2">
        <f>100-29</f>
        <v>71</v>
      </c>
      <c r="F110" s="3">
        <v>-0.03984</v>
      </c>
      <c r="G110" s="1">
        <v>30.76812807</v>
      </c>
      <c r="H110" s="3">
        <v>1.548805</v>
      </c>
      <c r="I110" s="1">
        <v>22.7881</v>
      </c>
      <c r="J110" s="1">
        <v>0.61</v>
      </c>
      <c r="K110" s="1">
        <v>15.5</v>
      </c>
      <c r="L110" s="1">
        <v>34.0</v>
      </c>
      <c r="M110" s="1">
        <v>8.13</v>
      </c>
      <c r="N110" s="1" t="s">
        <v>17</v>
      </c>
      <c r="O110" s="3">
        <v>18.86792</v>
      </c>
    </row>
    <row r="111">
      <c r="A111" s="1" t="s">
        <v>15</v>
      </c>
      <c r="B111" s="1" t="s">
        <v>27</v>
      </c>
      <c r="C111" s="1">
        <v>2024.0</v>
      </c>
      <c r="D111" s="1">
        <v>6.47</v>
      </c>
      <c r="E111" s="2">
        <f>100-27</f>
        <v>73</v>
      </c>
      <c r="F111" s="3">
        <v>3.234784</v>
      </c>
      <c r="G111" s="1">
        <v>12.63253185</v>
      </c>
      <c r="H111" s="3">
        <v>1.509599</v>
      </c>
      <c r="I111" s="1">
        <v>22.8707</v>
      </c>
      <c r="J111" s="1">
        <v>0.58</v>
      </c>
      <c r="K111" s="1">
        <v>16.36</v>
      </c>
      <c r="L111" s="1">
        <v>35.0</v>
      </c>
      <c r="M111" s="1">
        <v>5.99</v>
      </c>
      <c r="N111" s="1" t="s">
        <v>17</v>
      </c>
    </row>
    <row r="112">
      <c r="A112" s="1" t="s">
        <v>15</v>
      </c>
      <c r="B112" s="1" t="s">
        <v>28</v>
      </c>
      <c r="C112" s="1">
        <v>2014.0</v>
      </c>
      <c r="D112" s="1">
        <v>8.84</v>
      </c>
      <c r="E112" s="2">
        <f>100-29</f>
        <v>71</v>
      </c>
      <c r="F112" s="3">
        <v>4.116428</v>
      </c>
      <c r="G112" s="1">
        <v>7.189384028</v>
      </c>
      <c r="H112" s="3">
        <v>1.500324</v>
      </c>
      <c r="I112" s="1">
        <v>21.4856</v>
      </c>
      <c r="J112" s="1">
        <v>0.81</v>
      </c>
      <c r="K112" s="1">
        <v>10.43</v>
      </c>
      <c r="L112" s="1">
        <v>23.0</v>
      </c>
      <c r="M112" s="1">
        <v>9.96</v>
      </c>
      <c r="N112" s="1" t="s">
        <v>19</v>
      </c>
      <c r="O112" s="3">
        <v>23.07692</v>
      </c>
    </row>
    <row r="113">
      <c r="A113" s="1" t="s">
        <v>15</v>
      </c>
      <c r="B113" s="1" t="s">
        <v>28</v>
      </c>
      <c r="C113" s="1">
        <v>2015.0</v>
      </c>
      <c r="D113" s="1">
        <v>9.6</v>
      </c>
      <c r="E113" s="2">
        <f>100-30</f>
        <v>70</v>
      </c>
      <c r="F113" s="3">
        <v>4.217942</v>
      </c>
      <c r="G113" s="1">
        <v>2.529328173</v>
      </c>
      <c r="H113" s="3">
        <v>1.402501</v>
      </c>
      <c r="I113" s="1">
        <v>21.6226</v>
      </c>
      <c r="J113" s="1">
        <v>0.94</v>
      </c>
      <c r="K113" s="1">
        <v>12.56</v>
      </c>
      <c r="L113" s="1">
        <v>24.0</v>
      </c>
      <c r="M113" s="1">
        <v>8.84</v>
      </c>
      <c r="N113" s="1" t="s">
        <v>19</v>
      </c>
      <c r="O113" s="3">
        <v>22.38095</v>
      </c>
    </row>
    <row r="114">
      <c r="A114" s="1" t="s">
        <v>15</v>
      </c>
      <c r="B114" s="1" t="s">
        <v>28</v>
      </c>
      <c r="C114" s="1">
        <v>2016.0</v>
      </c>
      <c r="D114" s="1">
        <v>7.79</v>
      </c>
      <c r="E114" s="2">
        <f t="shared" ref="E114:E115" si="12">100-32</f>
        <v>68</v>
      </c>
      <c r="F114" s="3">
        <v>6.573838</v>
      </c>
      <c r="G114" s="1">
        <v>3.765119164</v>
      </c>
      <c r="H114" s="3">
        <v>1.302164</v>
      </c>
      <c r="I114" s="1">
        <v>21.7155</v>
      </c>
      <c r="J114" s="1">
        <v>0.7</v>
      </c>
      <c r="K114" s="1">
        <v>10.3</v>
      </c>
      <c r="L114" s="1">
        <v>25.0</v>
      </c>
      <c r="M114" s="1">
        <v>9.6</v>
      </c>
      <c r="N114" s="1" t="s">
        <v>19</v>
      </c>
      <c r="O114" s="3">
        <v>17.61905</v>
      </c>
    </row>
    <row r="115">
      <c r="A115" s="1" t="s">
        <v>15</v>
      </c>
      <c r="B115" s="1" t="s">
        <v>28</v>
      </c>
      <c r="C115" s="1">
        <v>2017.0</v>
      </c>
      <c r="D115" s="1">
        <v>5.93</v>
      </c>
      <c r="E115" s="2">
        <f t="shared" si="12"/>
        <v>68</v>
      </c>
      <c r="F115" s="3">
        <v>4.432626</v>
      </c>
      <c r="G115" s="1">
        <v>4.08537368</v>
      </c>
      <c r="H115" s="3">
        <v>1.4141</v>
      </c>
      <c r="I115" s="1">
        <v>21.8547</v>
      </c>
      <c r="J115" s="1">
        <v>0.55</v>
      </c>
      <c r="K115" s="1">
        <v>9.02</v>
      </c>
      <c r="L115" s="1">
        <v>26.0</v>
      </c>
      <c r="M115" s="1">
        <v>7.79</v>
      </c>
      <c r="N115" s="1" t="s">
        <v>19</v>
      </c>
      <c r="O115" s="3">
        <v>21.90476</v>
      </c>
    </row>
    <row r="116">
      <c r="A116" s="1" t="s">
        <v>15</v>
      </c>
      <c r="B116" s="1" t="s">
        <v>28</v>
      </c>
      <c r="C116" s="1">
        <v>2018.0</v>
      </c>
      <c r="D116" s="1">
        <v>5.83</v>
      </c>
      <c r="E116" s="2">
        <f>100-33</f>
        <v>67</v>
      </c>
      <c r="F116" s="3">
        <v>6.151703</v>
      </c>
      <c r="G116" s="1">
        <v>5.078057259</v>
      </c>
      <c r="H116" s="3">
        <v>1.623715</v>
      </c>
      <c r="I116" s="1">
        <v>21.8748</v>
      </c>
      <c r="J116" s="1">
        <v>0.5</v>
      </c>
      <c r="K116" s="1">
        <v>9.78</v>
      </c>
      <c r="L116" s="1">
        <v>27.0</v>
      </c>
      <c r="M116" s="1">
        <v>5.93</v>
      </c>
      <c r="N116" s="1" t="s">
        <v>19</v>
      </c>
      <c r="O116" s="3">
        <v>24.28572</v>
      </c>
    </row>
    <row r="117">
      <c r="A117" s="1" t="s">
        <v>15</v>
      </c>
      <c r="B117" s="1" t="s">
        <v>28</v>
      </c>
      <c r="C117" s="1">
        <v>2019.0</v>
      </c>
      <c r="D117" s="1">
        <v>5.13</v>
      </c>
      <c r="E117" s="2">
        <f>100-32</f>
        <v>68</v>
      </c>
      <c r="F117" s="3">
        <v>2.497637</v>
      </c>
      <c r="G117" s="1">
        <v>10.5783618</v>
      </c>
      <c r="H117" s="3">
        <v>1.691871</v>
      </c>
      <c r="I117" s="1">
        <v>21.7726</v>
      </c>
      <c r="J117" s="1">
        <v>0.46</v>
      </c>
      <c r="K117" s="1">
        <v>9.98</v>
      </c>
      <c r="L117" s="1">
        <v>28.0</v>
      </c>
      <c r="M117" s="1">
        <v>5.83</v>
      </c>
      <c r="N117" s="1" t="s">
        <v>19</v>
      </c>
      <c r="O117" s="3">
        <v>20.95238</v>
      </c>
    </row>
    <row r="118">
      <c r="A118" s="1" t="s">
        <v>15</v>
      </c>
      <c r="B118" s="1" t="s">
        <v>28</v>
      </c>
      <c r="C118" s="1">
        <v>2020.0</v>
      </c>
      <c r="D118" s="1">
        <v>6.25</v>
      </c>
      <c r="E118" s="1">
        <f>100-31</f>
        <v>69</v>
      </c>
      <c r="F118" s="3">
        <v>-1.27409</v>
      </c>
      <c r="G118" s="1">
        <v>9.739993139</v>
      </c>
      <c r="H118" s="3">
        <v>1.803751</v>
      </c>
      <c r="I118" s="1">
        <v>21.8034</v>
      </c>
      <c r="J118" s="1">
        <v>0.52</v>
      </c>
      <c r="K118" s="1">
        <v>11.07</v>
      </c>
      <c r="L118" s="1">
        <v>29.0</v>
      </c>
      <c r="M118" s="1">
        <v>5.13</v>
      </c>
      <c r="N118" s="1" t="s">
        <v>19</v>
      </c>
      <c r="O118" s="3">
        <v>21.90476</v>
      </c>
    </row>
    <row r="119">
      <c r="A119" s="1" t="s">
        <v>15</v>
      </c>
      <c r="B119" s="1" t="s">
        <v>28</v>
      </c>
      <c r="C119" s="1">
        <v>2021.0</v>
      </c>
      <c r="D119" s="1">
        <v>5.95</v>
      </c>
      <c r="E119" s="2">
        <f>100-28</f>
        <v>72</v>
      </c>
      <c r="F119" s="3">
        <v>6.513886</v>
      </c>
      <c r="G119" s="1">
        <v>9.496210561</v>
      </c>
      <c r="H119" s="3">
        <v>1.886778</v>
      </c>
      <c r="I119" s="1">
        <v>21.897</v>
      </c>
      <c r="J119" s="1">
        <v>0.54</v>
      </c>
      <c r="K119" s="1">
        <v>12.74</v>
      </c>
      <c r="L119" s="1">
        <v>30.0</v>
      </c>
      <c r="M119" s="1">
        <v>6.25</v>
      </c>
      <c r="N119" s="1" t="s">
        <v>19</v>
      </c>
      <c r="O119" s="3">
        <v>23.33333</v>
      </c>
    </row>
    <row r="120">
      <c r="A120" s="1" t="s">
        <v>15</v>
      </c>
      <c r="B120" s="1" t="s">
        <v>28</v>
      </c>
      <c r="C120" s="1">
        <v>2022.0</v>
      </c>
      <c r="D120" s="1">
        <v>4.71</v>
      </c>
      <c r="E120" s="2">
        <f>100-27</f>
        <v>73</v>
      </c>
      <c r="F120" s="3">
        <v>4.778107</v>
      </c>
      <c r="G120" s="1">
        <v>19.87385996</v>
      </c>
      <c r="H120" s="3">
        <v>1.747997</v>
      </c>
      <c r="I120" s="1">
        <v>21.6699</v>
      </c>
      <c r="J120" s="1">
        <v>0.32</v>
      </c>
      <c r="K120" s="1">
        <v>8.8</v>
      </c>
      <c r="L120" s="1">
        <v>31.0</v>
      </c>
      <c r="M120" s="1">
        <v>5.95</v>
      </c>
      <c r="N120" s="1" t="s">
        <v>19</v>
      </c>
      <c r="O120" s="3">
        <v>22.64151</v>
      </c>
    </row>
    <row r="121">
      <c r="A121" s="1" t="s">
        <v>15</v>
      </c>
      <c r="B121" s="1" t="s">
        <v>28</v>
      </c>
      <c r="C121" s="1">
        <v>2023.0</v>
      </c>
      <c r="D121" s="1">
        <v>4.9</v>
      </c>
      <c r="E121" s="2">
        <f>100-29</f>
        <v>71</v>
      </c>
      <c r="F121" s="3">
        <v>-0.03984</v>
      </c>
      <c r="G121" s="1">
        <v>30.76812807</v>
      </c>
      <c r="H121" s="3">
        <v>1.548805</v>
      </c>
      <c r="I121" s="1">
        <v>21.5781</v>
      </c>
      <c r="J121" s="1">
        <v>0.98</v>
      </c>
      <c r="K121" s="1">
        <v>24.42</v>
      </c>
      <c r="L121" s="1">
        <v>32.0</v>
      </c>
      <c r="M121" s="1">
        <v>4.71</v>
      </c>
      <c r="N121" s="1" t="s">
        <v>19</v>
      </c>
      <c r="O121" s="3">
        <v>18.86792</v>
      </c>
    </row>
    <row r="122">
      <c r="A122" s="1" t="s">
        <v>15</v>
      </c>
      <c r="B122" s="1" t="s">
        <v>28</v>
      </c>
      <c r="C122" s="1">
        <v>2024.0</v>
      </c>
      <c r="D122" s="1">
        <v>3.13</v>
      </c>
      <c r="E122" s="2">
        <f>100-27</f>
        <v>73</v>
      </c>
      <c r="F122" s="3">
        <v>3.234784</v>
      </c>
      <c r="G122" s="1">
        <v>12.63253185</v>
      </c>
      <c r="H122" s="3">
        <v>1.509599</v>
      </c>
      <c r="I122" s="1">
        <v>21.6983</v>
      </c>
      <c r="J122" s="1">
        <v>0.94</v>
      </c>
      <c r="K122" s="1">
        <v>19.86</v>
      </c>
      <c r="L122" s="1">
        <v>33.0</v>
      </c>
      <c r="M122" s="1">
        <v>4.9</v>
      </c>
      <c r="N122" s="1" t="s">
        <v>19</v>
      </c>
    </row>
    <row r="123">
      <c r="A123" s="1" t="s">
        <v>15</v>
      </c>
      <c r="B123" s="1" t="s">
        <v>29</v>
      </c>
      <c r="C123" s="1">
        <v>2014.0</v>
      </c>
      <c r="D123" s="1">
        <v>15.0</v>
      </c>
      <c r="E123" s="2">
        <f>100-29</f>
        <v>71</v>
      </c>
      <c r="F123" s="3">
        <v>4.116428</v>
      </c>
      <c r="G123" s="1">
        <v>7.189384028</v>
      </c>
      <c r="H123" s="3">
        <v>1.500324</v>
      </c>
      <c r="I123" s="1">
        <v>22.1233</v>
      </c>
      <c r="J123" s="1">
        <v>2.4</v>
      </c>
      <c r="K123" s="1">
        <v>16.7</v>
      </c>
      <c r="L123" s="1">
        <v>151.0</v>
      </c>
      <c r="M123" s="1">
        <v>16.0</v>
      </c>
      <c r="N123" s="1" t="s">
        <v>19</v>
      </c>
      <c r="O123" s="3">
        <v>23.07692</v>
      </c>
    </row>
    <row r="124">
      <c r="A124" s="1" t="s">
        <v>15</v>
      </c>
      <c r="B124" s="1" t="s">
        <v>29</v>
      </c>
      <c r="C124" s="1">
        <v>2015.0</v>
      </c>
      <c r="D124" s="1">
        <v>18.0</v>
      </c>
      <c r="E124" s="2">
        <f>100-30</f>
        <v>70</v>
      </c>
      <c r="F124" s="3">
        <v>4.217942</v>
      </c>
      <c r="G124" s="1">
        <v>2.529328173</v>
      </c>
      <c r="H124" s="3">
        <v>1.402501</v>
      </c>
      <c r="I124" s="1">
        <v>22.1824</v>
      </c>
      <c r="J124" s="1">
        <v>2.2</v>
      </c>
      <c r="K124" s="1">
        <v>15.1</v>
      </c>
      <c r="L124" s="1">
        <v>152.0</v>
      </c>
      <c r="M124" s="1">
        <v>15.0</v>
      </c>
      <c r="N124" s="1" t="s">
        <v>19</v>
      </c>
      <c r="O124" s="3">
        <v>22.38095</v>
      </c>
    </row>
    <row r="125">
      <c r="A125" s="1" t="s">
        <v>15</v>
      </c>
      <c r="B125" s="1" t="s">
        <v>29</v>
      </c>
      <c r="C125" s="1">
        <v>2016.0</v>
      </c>
      <c r="D125" s="1">
        <v>16.0</v>
      </c>
      <c r="E125" s="2">
        <f t="shared" ref="E125:E126" si="13">100-32</f>
        <v>68</v>
      </c>
      <c r="F125" s="3">
        <v>6.573838</v>
      </c>
      <c r="G125" s="1">
        <v>3.765119164</v>
      </c>
      <c r="H125" s="3">
        <v>1.302164</v>
      </c>
      <c r="I125" s="1">
        <v>22.2364</v>
      </c>
      <c r="J125" s="1">
        <v>2.2</v>
      </c>
      <c r="K125" s="1">
        <v>15.6</v>
      </c>
      <c r="L125" s="1">
        <v>153.0</v>
      </c>
      <c r="M125" s="1">
        <v>18.0</v>
      </c>
      <c r="N125" s="1" t="s">
        <v>19</v>
      </c>
      <c r="O125" s="3">
        <v>17.61905</v>
      </c>
    </row>
    <row r="126">
      <c r="A126" s="1" t="s">
        <v>15</v>
      </c>
      <c r="B126" s="1" t="s">
        <v>29</v>
      </c>
      <c r="C126" s="1">
        <v>2017.0</v>
      </c>
      <c r="D126" s="1">
        <v>12.0</v>
      </c>
      <c r="E126" s="2">
        <f t="shared" si="13"/>
        <v>68</v>
      </c>
      <c r="F126" s="3">
        <v>4.432626</v>
      </c>
      <c r="G126" s="1">
        <v>4.08537368</v>
      </c>
      <c r="H126" s="3">
        <v>1.4141</v>
      </c>
      <c r="I126" s="1">
        <v>22.3236</v>
      </c>
      <c r="J126" s="1">
        <v>1.7</v>
      </c>
      <c r="K126" s="1">
        <v>13.3</v>
      </c>
      <c r="L126" s="1">
        <v>154.0</v>
      </c>
      <c r="M126" s="1">
        <v>16.0</v>
      </c>
      <c r="N126" s="1" t="s">
        <v>19</v>
      </c>
      <c r="O126" s="3">
        <v>21.90476</v>
      </c>
    </row>
    <row r="127">
      <c r="A127" s="1" t="s">
        <v>15</v>
      </c>
      <c r="B127" s="1" t="s">
        <v>29</v>
      </c>
      <c r="C127" s="1">
        <v>2018.0</v>
      </c>
      <c r="D127" s="1">
        <v>9.0</v>
      </c>
      <c r="E127" s="2">
        <f>100-33</f>
        <v>67</v>
      </c>
      <c r="F127" s="3">
        <v>6.151703</v>
      </c>
      <c r="G127" s="1">
        <v>5.078057259</v>
      </c>
      <c r="H127" s="3">
        <v>1.623715</v>
      </c>
      <c r="I127" s="1">
        <v>22.2847</v>
      </c>
      <c r="J127" s="1">
        <v>2.1</v>
      </c>
      <c r="K127" s="1">
        <v>17.3</v>
      </c>
      <c r="L127" s="1">
        <v>155.0</v>
      </c>
      <c r="M127" s="1">
        <v>12.0</v>
      </c>
      <c r="N127" s="1" t="s">
        <v>19</v>
      </c>
      <c r="O127" s="3">
        <v>24.28572</v>
      </c>
    </row>
    <row r="128">
      <c r="A128" s="1" t="s">
        <v>15</v>
      </c>
      <c r="B128" s="1" t="s">
        <v>29</v>
      </c>
      <c r="C128" s="1">
        <v>2019.0</v>
      </c>
      <c r="D128" s="1">
        <v>8.0</v>
      </c>
      <c r="E128" s="2">
        <f>100-32</f>
        <v>68</v>
      </c>
      <c r="F128" s="3">
        <v>2.497637</v>
      </c>
      <c r="G128" s="1">
        <v>10.5783618</v>
      </c>
      <c r="H128" s="3">
        <v>1.691871</v>
      </c>
      <c r="I128" s="1">
        <v>22.1115</v>
      </c>
      <c r="J128" s="1">
        <v>2.7</v>
      </c>
      <c r="K128" s="1">
        <v>22.9</v>
      </c>
      <c r="L128" s="1">
        <v>156.0</v>
      </c>
      <c r="M128" s="1">
        <v>9.0</v>
      </c>
      <c r="N128" s="1" t="s">
        <v>19</v>
      </c>
      <c r="O128" s="3">
        <v>20.95238</v>
      </c>
    </row>
    <row r="129">
      <c r="A129" s="1" t="s">
        <v>15</v>
      </c>
      <c r="B129" s="1" t="s">
        <v>29</v>
      </c>
      <c r="C129" s="1">
        <v>2020.0</v>
      </c>
      <c r="D129" s="1">
        <v>11.0</v>
      </c>
      <c r="E129" s="1">
        <f>100-31</f>
        <v>69</v>
      </c>
      <c r="F129" s="3">
        <v>-1.27409</v>
      </c>
      <c r="G129" s="1">
        <v>9.739993139</v>
      </c>
      <c r="H129" s="3">
        <v>1.803751</v>
      </c>
      <c r="I129" s="1">
        <v>22.1985</v>
      </c>
      <c r="J129" s="1">
        <v>2.0</v>
      </c>
      <c r="K129" s="1">
        <v>17.0</v>
      </c>
      <c r="L129" s="1">
        <v>157.0</v>
      </c>
      <c r="M129" s="1">
        <v>8.0</v>
      </c>
      <c r="N129" s="1" t="s">
        <v>19</v>
      </c>
      <c r="O129" s="3">
        <v>21.90476</v>
      </c>
    </row>
    <row r="130">
      <c r="A130" s="1" t="s">
        <v>15</v>
      </c>
      <c r="B130" s="1" t="s">
        <v>29</v>
      </c>
      <c r="C130" s="1">
        <v>2021.0</v>
      </c>
      <c r="D130" s="1">
        <v>8.0</v>
      </c>
      <c r="E130" s="2">
        <f>100-28</f>
        <v>72</v>
      </c>
      <c r="F130" s="3">
        <v>6.513886</v>
      </c>
      <c r="G130" s="1">
        <v>9.496210561</v>
      </c>
      <c r="H130" s="3">
        <v>1.886778</v>
      </c>
      <c r="I130" s="1">
        <v>22.2698</v>
      </c>
      <c r="J130" s="1">
        <v>1.8</v>
      </c>
      <c r="K130" s="1">
        <v>17.0</v>
      </c>
      <c r="L130" s="1">
        <v>158.0</v>
      </c>
      <c r="M130" s="1">
        <v>11.0</v>
      </c>
      <c r="N130" s="1" t="s">
        <v>19</v>
      </c>
      <c r="O130" s="3">
        <v>23.33333</v>
      </c>
    </row>
    <row r="131">
      <c r="A131" s="1" t="s">
        <v>15</v>
      </c>
      <c r="B131" s="1" t="s">
        <v>29</v>
      </c>
      <c r="C131" s="1">
        <v>2022.0</v>
      </c>
      <c r="D131" s="1">
        <v>9.0</v>
      </c>
      <c r="E131" s="2">
        <f>100-27</f>
        <v>73</v>
      </c>
      <c r="F131" s="3">
        <v>4.778107</v>
      </c>
      <c r="G131" s="1">
        <v>19.87385996</v>
      </c>
      <c r="H131" s="3">
        <v>1.747997</v>
      </c>
      <c r="I131" s="1">
        <v>22.1397</v>
      </c>
      <c r="J131" s="1">
        <v>22.2</v>
      </c>
      <c r="K131" s="1">
        <v>23.7</v>
      </c>
      <c r="L131" s="1">
        <v>159.0</v>
      </c>
      <c r="M131" s="1">
        <v>8.0</v>
      </c>
      <c r="N131" s="1" t="s">
        <v>19</v>
      </c>
      <c r="O131" s="3">
        <v>22.64151</v>
      </c>
    </row>
    <row r="132">
      <c r="A132" s="1" t="s">
        <v>15</v>
      </c>
      <c r="B132" s="1" t="s">
        <v>29</v>
      </c>
      <c r="C132" s="1">
        <v>2023.0</v>
      </c>
      <c r="D132" s="1">
        <v>9.0</v>
      </c>
      <c r="E132" s="2">
        <f>100-29</f>
        <v>71</v>
      </c>
      <c r="F132" s="3">
        <v>-0.03984</v>
      </c>
      <c r="G132" s="1">
        <v>30.76812807</v>
      </c>
      <c r="H132" s="3">
        <v>1.548805</v>
      </c>
      <c r="I132" s="1">
        <v>21.9948</v>
      </c>
      <c r="J132" s="1">
        <v>4.4</v>
      </c>
      <c r="K132" s="1">
        <v>46.4</v>
      </c>
      <c r="L132" s="1">
        <v>160.0</v>
      </c>
      <c r="M132" s="1">
        <v>9.0</v>
      </c>
      <c r="N132" s="1" t="s">
        <v>19</v>
      </c>
      <c r="O132" s="3">
        <v>18.86792</v>
      </c>
    </row>
    <row r="133">
      <c r="A133" s="1" t="s">
        <v>15</v>
      </c>
      <c r="B133" s="1" t="s">
        <v>29</v>
      </c>
      <c r="C133" s="1">
        <v>2024.0</v>
      </c>
      <c r="D133" s="1">
        <v>8.0</v>
      </c>
      <c r="E133" s="2">
        <f>100-27</f>
        <v>73</v>
      </c>
      <c r="F133" s="3">
        <v>3.234784</v>
      </c>
      <c r="G133" s="1">
        <v>12.63253185</v>
      </c>
      <c r="H133" s="3">
        <v>1.509599</v>
      </c>
      <c r="I133" s="1">
        <v>22.0589</v>
      </c>
      <c r="J133" s="1">
        <v>4.5</v>
      </c>
      <c r="K133" s="1">
        <v>43.1</v>
      </c>
      <c r="L133" s="1">
        <v>161.0</v>
      </c>
      <c r="M133" s="1">
        <v>9.0</v>
      </c>
      <c r="N133" s="1" t="s">
        <v>19</v>
      </c>
    </row>
    <row r="134">
      <c r="A134" s="1" t="s">
        <v>15</v>
      </c>
      <c r="B134" s="1" t="s">
        <v>30</v>
      </c>
      <c r="C134" s="1">
        <v>2014.0</v>
      </c>
      <c r="D134" s="1">
        <v>4.9</v>
      </c>
      <c r="E134" s="2">
        <f>100-29</f>
        <v>71</v>
      </c>
      <c r="F134" s="3">
        <v>4.116428</v>
      </c>
      <c r="G134" s="1">
        <v>7.189384028</v>
      </c>
      <c r="H134" s="3">
        <v>1.500324</v>
      </c>
      <c r="I134" s="1">
        <v>21.2788</v>
      </c>
      <c r="J134" s="1">
        <v>0.73</v>
      </c>
      <c r="K134" s="1">
        <v>9.63</v>
      </c>
      <c r="L134" s="1">
        <v>10.0</v>
      </c>
      <c r="M134" s="1">
        <v>8.0</v>
      </c>
      <c r="N134" s="1" t="s">
        <v>19</v>
      </c>
      <c r="O134" s="3">
        <v>23.07692</v>
      </c>
    </row>
    <row r="135">
      <c r="A135" s="1" t="s">
        <v>15</v>
      </c>
      <c r="B135" s="1" t="s">
        <v>30</v>
      </c>
      <c r="C135" s="1">
        <v>2015.0</v>
      </c>
      <c r="D135" s="1">
        <v>3.8</v>
      </c>
      <c r="E135" s="2">
        <f>100-30</f>
        <v>70</v>
      </c>
      <c r="F135" s="3">
        <v>4.217942</v>
      </c>
      <c r="G135" s="1">
        <v>2.529328173</v>
      </c>
      <c r="H135" s="3">
        <v>1.402501</v>
      </c>
      <c r="I135" s="1">
        <v>21.4658</v>
      </c>
      <c r="J135" s="1">
        <v>1.03</v>
      </c>
      <c r="K135" s="1">
        <v>13.95</v>
      </c>
      <c r="L135" s="1">
        <v>11.0</v>
      </c>
      <c r="M135" s="1">
        <v>4.9</v>
      </c>
      <c r="N135" s="1" t="s">
        <v>19</v>
      </c>
      <c r="O135" s="3">
        <v>22.38095</v>
      </c>
    </row>
    <row r="136">
      <c r="A136" s="1" t="s">
        <v>15</v>
      </c>
      <c r="B136" s="1" t="s">
        <v>30</v>
      </c>
      <c r="C136" s="1">
        <v>2016.0</v>
      </c>
      <c r="D136" s="1">
        <v>3.5</v>
      </c>
      <c r="E136" s="2">
        <f t="shared" ref="E136:E137" si="14">100-32</f>
        <v>68</v>
      </c>
      <c r="F136" s="3">
        <v>6.573838</v>
      </c>
      <c r="G136" s="1">
        <v>3.765119164</v>
      </c>
      <c r="H136" s="3">
        <v>1.302164</v>
      </c>
      <c r="I136" s="1">
        <v>21.6638</v>
      </c>
      <c r="J136" s="1">
        <v>0.85</v>
      </c>
      <c r="K136" s="1">
        <v>12.73</v>
      </c>
      <c r="L136" s="1">
        <v>12.0</v>
      </c>
      <c r="M136" s="1">
        <v>3.8</v>
      </c>
      <c r="N136" s="1" t="s">
        <v>19</v>
      </c>
      <c r="O136" s="3">
        <v>17.61905</v>
      </c>
    </row>
    <row r="137">
      <c r="A137" s="1" t="s">
        <v>15</v>
      </c>
      <c r="B137" s="1" t="s">
        <v>30</v>
      </c>
      <c r="C137" s="1">
        <v>2017.0</v>
      </c>
      <c r="D137" s="1">
        <v>1.8</v>
      </c>
      <c r="E137" s="2">
        <f t="shared" si="14"/>
        <v>68</v>
      </c>
      <c r="F137" s="3">
        <v>4.432626</v>
      </c>
      <c r="G137" s="1">
        <v>4.08537368</v>
      </c>
      <c r="H137" s="3">
        <v>1.4141</v>
      </c>
      <c r="I137" s="1">
        <v>22.0395</v>
      </c>
      <c r="J137" s="1">
        <v>0.3</v>
      </c>
      <c r="K137" s="1">
        <v>5.84</v>
      </c>
      <c r="L137" s="1">
        <v>13.0</v>
      </c>
      <c r="M137" s="1">
        <v>3.5</v>
      </c>
      <c r="N137" s="1" t="s">
        <v>19</v>
      </c>
      <c r="O137" s="3">
        <v>21.90476</v>
      </c>
    </row>
    <row r="138">
      <c r="A138" s="1" t="s">
        <v>15</v>
      </c>
      <c r="B138" s="1" t="s">
        <v>30</v>
      </c>
      <c r="C138" s="1">
        <v>2018.0</v>
      </c>
      <c r="D138" s="1">
        <v>3.4</v>
      </c>
      <c r="E138" s="2">
        <f>100-33</f>
        <v>67</v>
      </c>
      <c r="F138" s="3">
        <v>6.151703</v>
      </c>
      <c r="G138" s="1">
        <v>5.078057259</v>
      </c>
      <c r="H138" s="3">
        <v>1.623715</v>
      </c>
      <c r="I138" s="1">
        <v>22.0521</v>
      </c>
      <c r="J138" s="1">
        <v>0.13</v>
      </c>
      <c r="K138" s="1">
        <v>3.48</v>
      </c>
      <c r="L138" s="1">
        <v>14.0</v>
      </c>
      <c r="M138" s="1">
        <v>1.8</v>
      </c>
      <c r="N138" s="1" t="s">
        <v>19</v>
      </c>
      <c r="O138" s="3">
        <v>24.28572</v>
      </c>
    </row>
    <row r="139">
      <c r="A139" s="1" t="s">
        <v>15</v>
      </c>
      <c r="B139" s="1" t="s">
        <v>30</v>
      </c>
      <c r="C139" s="1">
        <v>2019.0</v>
      </c>
      <c r="D139" s="1">
        <v>4.5</v>
      </c>
      <c r="E139" s="2">
        <f>100-32</f>
        <v>68</v>
      </c>
      <c r="F139" s="3">
        <v>2.497637</v>
      </c>
      <c r="G139" s="1">
        <v>10.5783618</v>
      </c>
      <c r="H139" s="3">
        <v>1.691871</v>
      </c>
      <c r="I139" s="1">
        <v>21.8337</v>
      </c>
      <c r="J139" s="1">
        <v>0.01</v>
      </c>
      <c r="K139" s="1">
        <v>0.15</v>
      </c>
      <c r="L139" s="1">
        <v>15.0</v>
      </c>
      <c r="M139" s="1">
        <v>3.4</v>
      </c>
      <c r="N139" s="1" t="s">
        <v>19</v>
      </c>
      <c r="O139" s="3">
        <v>20.95238</v>
      </c>
    </row>
    <row r="140">
      <c r="A140" s="1" t="s">
        <v>15</v>
      </c>
      <c r="B140" s="1" t="s">
        <v>30</v>
      </c>
      <c r="C140" s="1">
        <v>2020.0</v>
      </c>
      <c r="D140" s="1">
        <v>4.61</v>
      </c>
      <c r="E140" s="1">
        <f>100-31</f>
        <v>69</v>
      </c>
      <c r="F140" s="3">
        <v>-1.27409</v>
      </c>
      <c r="G140" s="1">
        <v>9.739993139</v>
      </c>
      <c r="H140" s="3">
        <v>1.803751</v>
      </c>
      <c r="I140" s="1">
        <v>21.8933</v>
      </c>
      <c r="J140" s="1">
        <v>0.23</v>
      </c>
      <c r="K140" s="1">
        <v>6.06</v>
      </c>
      <c r="L140" s="1">
        <v>16.0</v>
      </c>
      <c r="M140" s="1">
        <v>4.5</v>
      </c>
      <c r="N140" s="1" t="s">
        <v>19</v>
      </c>
      <c r="O140" s="3">
        <v>21.90476</v>
      </c>
    </row>
    <row r="141">
      <c r="A141" s="1" t="s">
        <v>15</v>
      </c>
      <c r="B141" s="1" t="s">
        <v>30</v>
      </c>
      <c r="C141" s="1">
        <v>2021.0</v>
      </c>
      <c r="D141" s="1">
        <v>5.34</v>
      </c>
      <c r="E141" s="2">
        <f>100-28</f>
        <v>72</v>
      </c>
      <c r="F141" s="3">
        <v>6.513886</v>
      </c>
      <c r="G141" s="1">
        <v>9.496210561</v>
      </c>
      <c r="H141" s="3">
        <v>1.886778</v>
      </c>
      <c r="I141" s="1">
        <v>21.9066</v>
      </c>
      <c r="J141" s="1">
        <v>0.23</v>
      </c>
      <c r="K141" s="1">
        <v>6.12</v>
      </c>
      <c r="L141" s="1">
        <v>17.0</v>
      </c>
      <c r="M141" s="1">
        <v>4.61</v>
      </c>
      <c r="N141" s="1" t="s">
        <v>19</v>
      </c>
      <c r="O141" s="3">
        <v>23.33333</v>
      </c>
    </row>
    <row r="142">
      <c r="A142" s="1" t="s">
        <v>15</v>
      </c>
      <c r="B142" s="1" t="s">
        <v>30</v>
      </c>
      <c r="C142" s="1">
        <v>2022.0</v>
      </c>
      <c r="D142" s="1">
        <v>6.84</v>
      </c>
      <c r="E142" s="2">
        <f>100-27</f>
        <v>73</v>
      </c>
      <c r="F142" s="3">
        <v>4.778107</v>
      </c>
      <c r="G142" s="1">
        <v>19.87385996</v>
      </c>
      <c r="H142" s="3">
        <v>1.747997</v>
      </c>
      <c r="I142" s="1">
        <v>21.7313</v>
      </c>
      <c r="J142" s="1">
        <v>0.16</v>
      </c>
      <c r="K142" s="1">
        <v>4.43</v>
      </c>
      <c r="L142" s="1">
        <v>18.0</v>
      </c>
      <c r="M142" s="1">
        <v>5.34</v>
      </c>
      <c r="N142" s="1" t="s">
        <v>19</v>
      </c>
      <c r="O142" s="3">
        <v>22.64151</v>
      </c>
    </row>
    <row r="143">
      <c r="A143" s="1" t="s">
        <v>15</v>
      </c>
      <c r="B143" s="1" t="s">
        <v>30</v>
      </c>
      <c r="C143" s="1">
        <v>2023.0</v>
      </c>
      <c r="D143" s="1">
        <v>7.57</v>
      </c>
      <c r="E143" s="2">
        <f>100-29</f>
        <v>71</v>
      </c>
      <c r="F143" s="3">
        <v>-0.03984</v>
      </c>
      <c r="G143" s="1">
        <v>30.76812807</v>
      </c>
      <c r="H143" s="3">
        <v>1.548805</v>
      </c>
      <c r="I143" s="1">
        <v>21.464</v>
      </c>
      <c r="J143" s="1">
        <v>0.72</v>
      </c>
      <c r="K143" s="1">
        <v>14.01</v>
      </c>
      <c r="L143" s="1">
        <v>19.0</v>
      </c>
      <c r="M143" s="1">
        <v>6.84</v>
      </c>
      <c r="N143" s="1" t="s">
        <v>19</v>
      </c>
      <c r="O143" s="3">
        <v>18.86792</v>
      </c>
    </row>
    <row r="144">
      <c r="A144" s="1" t="s">
        <v>15</v>
      </c>
      <c r="B144" s="1" t="s">
        <v>30</v>
      </c>
      <c r="C144" s="1">
        <v>2024.0</v>
      </c>
      <c r="D144" s="1">
        <v>8.61</v>
      </c>
      <c r="E144" s="2">
        <f>100-27</f>
        <v>73</v>
      </c>
      <c r="F144" s="3">
        <v>3.234784</v>
      </c>
      <c r="G144" s="1">
        <v>12.63253185</v>
      </c>
      <c r="H144" s="3">
        <v>1.509599</v>
      </c>
      <c r="I144" s="1">
        <v>21.55</v>
      </c>
      <c r="J144" s="1">
        <v>0.46</v>
      </c>
      <c r="K144" s="1">
        <v>6.78</v>
      </c>
      <c r="L144" s="1">
        <v>20.0</v>
      </c>
      <c r="M144" s="1">
        <v>7.57</v>
      </c>
      <c r="N144" s="1" t="s">
        <v>19</v>
      </c>
    </row>
    <row r="145">
      <c r="A145" s="1" t="s">
        <v>15</v>
      </c>
      <c r="B145" s="1" t="s">
        <v>31</v>
      </c>
      <c r="C145" s="1">
        <v>2014.0</v>
      </c>
      <c r="D145" s="1">
        <v>2.55</v>
      </c>
      <c r="E145" s="2">
        <f>100-29</f>
        <v>71</v>
      </c>
      <c r="F145" s="3">
        <v>4.116428</v>
      </c>
      <c r="G145" s="1">
        <v>7.189384028</v>
      </c>
      <c r="H145" s="3">
        <v>1.500324</v>
      </c>
      <c r="I145" s="1">
        <v>20.7328</v>
      </c>
      <c r="J145" s="1">
        <v>0.33</v>
      </c>
      <c r="K145" s="1">
        <v>5.35</v>
      </c>
      <c r="L145" s="1">
        <v>10.0</v>
      </c>
      <c r="M145" s="1">
        <v>2.85</v>
      </c>
      <c r="N145" s="1" t="s">
        <v>19</v>
      </c>
      <c r="O145" s="3">
        <v>23.07692</v>
      </c>
    </row>
    <row r="146">
      <c r="A146" s="1" t="s">
        <v>15</v>
      </c>
      <c r="B146" s="1" t="s">
        <v>31</v>
      </c>
      <c r="C146" s="1">
        <v>2015.0</v>
      </c>
      <c r="D146" s="1">
        <v>19.04</v>
      </c>
      <c r="E146" s="2">
        <f>100-30</f>
        <v>70</v>
      </c>
      <c r="F146" s="3">
        <v>4.217942</v>
      </c>
      <c r="G146" s="1">
        <v>2.529328173</v>
      </c>
      <c r="H146" s="3">
        <v>1.402501</v>
      </c>
      <c r="I146" s="1">
        <v>21.2404</v>
      </c>
      <c r="J146" s="1">
        <v>-0.14</v>
      </c>
      <c r="K146" s="1">
        <v>-2.37</v>
      </c>
      <c r="L146" s="1">
        <v>11.0</v>
      </c>
      <c r="M146" s="1">
        <v>2.55</v>
      </c>
      <c r="N146" s="1" t="s">
        <v>19</v>
      </c>
      <c r="O146" s="3">
        <v>22.38095</v>
      </c>
    </row>
    <row r="147">
      <c r="A147" s="1" t="s">
        <v>15</v>
      </c>
      <c r="B147" s="1" t="s">
        <v>31</v>
      </c>
      <c r="C147" s="1">
        <v>2016.0</v>
      </c>
      <c r="D147" s="1">
        <v>16.16</v>
      </c>
      <c r="E147" s="2">
        <f t="shared" ref="E147:E148" si="15">100-32</f>
        <v>68</v>
      </c>
      <c r="F147" s="3">
        <v>6.573838</v>
      </c>
      <c r="G147" s="1">
        <v>3.765119164</v>
      </c>
      <c r="H147" s="3">
        <v>1.302164</v>
      </c>
      <c r="I147" s="1">
        <v>21.2823</v>
      </c>
      <c r="J147" s="1">
        <v>0.25</v>
      </c>
      <c r="K147" s="1">
        <v>4.27</v>
      </c>
      <c r="L147" s="1">
        <v>12.0</v>
      </c>
      <c r="M147" s="1">
        <v>19.04</v>
      </c>
      <c r="N147" s="1" t="s">
        <v>19</v>
      </c>
      <c r="O147" s="3">
        <v>17.61905</v>
      </c>
    </row>
    <row r="148">
      <c r="A148" s="1" t="s">
        <v>15</v>
      </c>
      <c r="B148" s="1" t="s">
        <v>31</v>
      </c>
      <c r="C148" s="1">
        <v>2017.0</v>
      </c>
      <c r="D148" s="1">
        <v>12.11</v>
      </c>
      <c r="E148" s="2">
        <f t="shared" si="15"/>
        <v>68</v>
      </c>
      <c r="F148" s="3">
        <v>4.432626</v>
      </c>
      <c r="G148" s="1">
        <v>4.08537368</v>
      </c>
      <c r="H148" s="3">
        <v>1.4141</v>
      </c>
      <c r="I148" s="1">
        <v>21.4533</v>
      </c>
      <c r="J148" s="1">
        <v>0.78</v>
      </c>
      <c r="K148" s="1">
        <v>13.46</v>
      </c>
      <c r="L148" s="1">
        <v>13.0</v>
      </c>
      <c r="M148" s="1">
        <v>16.16</v>
      </c>
      <c r="N148" s="1" t="s">
        <v>19</v>
      </c>
      <c r="O148" s="3">
        <v>21.90476</v>
      </c>
    </row>
    <row r="149">
      <c r="A149" s="1" t="s">
        <v>15</v>
      </c>
      <c r="B149" s="1" t="s">
        <v>31</v>
      </c>
      <c r="C149" s="1">
        <v>2018.0</v>
      </c>
      <c r="D149" s="1">
        <v>11.87</v>
      </c>
      <c r="E149" s="2">
        <f>100-33</f>
        <v>67</v>
      </c>
      <c r="F149" s="3">
        <v>6.151703</v>
      </c>
      <c r="G149" s="1">
        <v>5.078057259</v>
      </c>
      <c r="H149" s="3">
        <v>1.623715</v>
      </c>
      <c r="I149" s="1">
        <v>21.303</v>
      </c>
      <c r="J149" s="1">
        <v>0.1</v>
      </c>
      <c r="K149" s="1">
        <v>1.69</v>
      </c>
      <c r="L149" s="1">
        <v>14.0</v>
      </c>
      <c r="M149" s="1">
        <v>12.11</v>
      </c>
      <c r="N149" s="1" t="s">
        <v>19</v>
      </c>
      <c r="O149" s="3">
        <v>24.28572</v>
      </c>
    </row>
    <row r="150">
      <c r="A150" s="1" t="s">
        <v>15</v>
      </c>
      <c r="B150" s="1" t="s">
        <v>31</v>
      </c>
      <c r="C150" s="1">
        <v>2019.0</v>
      </c>
      <c r="D150" s="1">
        <v>10.63</v>
      </c>
      <c r="E150" s="2">
        <f>100-32</f>
        <v>68</v>
      </c>
      <c r="F150" s="3">
        <v>2.497637</v>
      </c>
      <c r="G150" s="1">
        <v>10.5783618</v>
      </c>
      <c r="H150" s="3">
        <v>1.691871</v>
      </c>
      <c r="I150" s="1">
        <v>21.3266</v>
      </c>
      <c r="J150" s="1">
        <v>0.44</v>
      </c>
      <c r="K150" s="1">
        <v>7.84</v>
      </c>
      <c r="L150" s="1">
        <v>15.0</v>
      </c>
      <c r="M150" s="1">
        <v>11.87</v>
      </c>
      <c r="N150" s="1" t="s">
        <v>19</v>
      </c>
      <c r="O150" s="3">
        <v>20.95238</v>
      </c>
    </row>
    <row r="151">
      <c r="A151" s="1" t="s">
        <v>15</v>
      </c>
      <c r="B151" s="1" t="s">
        <v>31</v>
      </c>
      <c r="C151" s="1">
        <v>2020.0</v>
      </c>
      <c r="D151" s="1">
        <v>12.06</v>
      </c>
      <c r="E151" s="1">
        <f>100-31</f>
        <v>69</v>
      </c>
      <c r="F151" s="3">
        <v>-1.27409</v>
      </c>
      <c r="G151" s="1">
        <v>9.739993139</v>
      </c>
      <c r="H151" s="3">
        <v>1.803751</v>
      </c>
      <c r="I151" s="1">
        <v>21.4355</v>
      </c>
      <c r="J151" s="1">
        <v>0.55</v>
      </c>
      <c r="K151" s="1">
        <v>10.67</v>
      </c>
      <c r="L151" s="1">
        <v>16.0</v>
      </c>
      <c r="M151" s="1">
        <v>10.63</v>
      </c>
      <c r="N151" s="1" t="s">
        <v>19</v>
      </c>
      <c r="O151" s="3">
        <v>21.90476</v>
      </c>
    </row>
    <row r="152">
      <c r="A152" s="1" t="s">
        <v>15</v>
      </c>
      <c r="B152" s="1" t="s">
        <v>31</v>
      </c>
      <c r="C152" s="1">
        <v>2021.0</v>
      </c>
      <c r="D152" s="1">
        <v>8.7</v>
      </c>
      <c r="E152" s="2">
        <f>100-28</f>
        <v>72</v>
      </c>
      <c r="F152" s="3">
        <v>6.513886</v>
      </c>
      <c r="G152" s="1">
        <v>9.496210561</v>
      </c>
      <c r="H152" s="3">
        <v>1.886778</v>
      </c>
      <c r="I152" s="1">
        <v>21.5483</v>
      </c>
      <c r="J152" s="1">
        <v>0.57</v>
      </c>
      <c r="K152" s="1">
        <v>11.87</v>
      </c>
      <c r="L152" s="1">
        <v>17.0</v>
      </c>
      <c r="M152" s="1">
        <v>12.06</v>
      </c>
      <c r="N152" s="1" t="s">
        <v>19</v>
      </c>
      <c r="O152" s="3">
        <v>23.33333</v>
      </c>
    </row>
    <row r="153">
      <c r="A153" s="1" t="s">
        <v>15</v>
      </c>
      <c r="B153" s="1" t="s">
        <v>31</v>
      </c>
      <c r="C153" s="1">
        <v>2022.0</v>
      </c>
      <c r="D153" s="1">
        <v>9.02</v>
      </c>
      <c r="E153" s="2">
        <f>100-27</f>
        <v>73</v>
      </c>
      <c r="F153" s="3">
        <v>4.778107</v>
      </c>
      <c r="G153" s="1">
        <v>19.87385996</v>
      </c>
      <c r="H153" s="3">
        <v>1.747997</v>
      </c>
      <c r="I153" s="1">
        <v>21.496</v>
      </c>
      <c r="J153" s="1">
        <v>0.99</v>
      </c>
      <c r="K153" s="1">
        <v>20.78</v>
      </c>
      <c r="L153" s="1">
        <v>18.0</v>
      </c>
      <c r="M153" s="1">
        <v>8.7</v>
      </c>
      <c r="N153" s="1" t="s">
        <v>19</v>
      </c>
      <c r="O153" s="3">
        <v>22.64151</v>
      </c>
    </row>
    <row r="154">
      <c r="A154" s="1" t="s">
        <v>15</v>
      </c>
      <c r="B154" s="1" t="s">
        <v>31</v>
      </c>
      <c r="C154" s="1">
        <v>2023.0</v>
      </c>
      <c r="D154" s="1">
        <v>9.01</v>
      </c>
      <c r="E154" s="2">
        <f>100-29</f>
        <v>71</v>
      </c>
      <c r="F154" s="3">
        <v>-0.03984</v>
      </c>
      <c r="G154" s="1">
        <v>30.76812807</v>
      </c>
      <c r="H154" s="3">
        <v>1.548805</v>
      </c>
      <c r="I154" s="1">
        <v>21.5695</v>
      </c>
      <c r="J154" s="1">
        <v>1.93</v>
      </c>
      <c r="K154" s="1">
        <v>39.81</v>
      </c>
      <c r="L154" s="1">
        <v>19.0</v>
      </c>
      <c r="M154" s="1">
        <v>9.02</v>
      </c>
      <c r="N154" s="1" t="s">
        <v>19</v>
      </c>
      <c r="O154" s="3">
        <v>18.86792</v>
      </c>
    </row>
    <row r="155">
      <c r="A155" s="1" t="s">
        <v>15</v>
      </c>
      <c r="B155" s="1" t="s">
        <v>31</v>
      </c>
      <c r="C155" s="1">
        <v>2024.0</v>
      </c>
      <c r="D155" s="1">
        <v>7.42</v>
      </c>
      <c r="E155" s="2">
        <f>100-27</f>
        <v>73</v>
      </c>
      <c r="F155" s="3">
        <v>3.234784</v>
      </c>
      <c r="G155" s="1">
        <v>12.63253185</v>
      </c>
      <c r="H155" s="3">
        <v>1.509599</v>
      </c>
      <c r="I155" s="1">
        <v>21.6992</v>
      </c>
      <c r="J155" s="1">
        <v>1.7</v>
      </c>
      <c r="K155" s="1">
        <v>32.55</v>
      </c>
      <c r="L155" s="1">
        <v>20.0</v>
      </c>
      <c r="M155" s="1">
        <v>9.01</v>
      </c>
      <c r="N155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32</v>
      </c>
      <c r="B2" s="1" t="s">
        <v>33</v>
      </c>
      <c r="C2" s="1">
        <v>2014.0</v>
      </c>
      <c r="D2" s="1">
        <v>4.95</v>
      </c>
      <c r="E2" s="1">
        <v>62.0</v>
      </c>
      <c r="F2" s="4">
        <v>7.4</v>
      </c>
      <c r="G2" s="8">
        <v>6.6</v>
      </c>
      <c r="H2" s="1">
        <v>1.25</v>
      </c>
      <c r="I2" s="1">
        <v>26.7</v>
      </c>
      <c r="J2" s="1">
        <v>0.38</v>
      </c>
      <c r="K2" s="1">
        <v>10.3</v>
      </c>
      <c r="L2" s="1">
        <v>59.0</v>
      </c>
      <c r="M2" s="1">
        <v>4.75</v>
      </c>
      <c r="N2" s="1" t="s">
        <v>17</v>
      </c>
    </row>
    <row r="3">
      <c r="A3" s="1" t="s">
        <v>32</v>
      </c>
      <c r="B3" s="1" t="s">
        <v>33</v>
      </c>
      <c r="C3" s="1">
        <v>2015.0</v>
      </c>
      <c r="D3" s="1">
        <v>4.25</v>
      </c>
      <c r="E3" s="1">
        <v>62.0</v>
      </c>
      <c r="F3" s="4">
        <v>8.0</v>
      </c>
      <c r="G3" s="8">
        <v>4.9</v>
      </c>
      <c r="H3" s="1">
        <v>1.19</v>
      </c>
      <c r="I3" s="1">
        <v>26.8</v>
      </c>
      <c r="J3" s="1">
        <v>0.45</v>
      </c>
      <c r="K3" s="1">
        <v>10.7</v>
      </c>
      <c r="L3" s="1">
        <v>60.0</v>
      </c>
      <c r="M3" s="1">
        <v>4.95</v>
      </c>
      <c r="N3" s="1" t="s">
        <v>17</v>
      </c>
    </row>
    <row r="4">
      <c r="A4" s="1" t="s">
        <v>32</v>
      </c>
      <c r="B4" s="1" t="s">
        <v>33</v>
      </c>
      <c r="C4" s="1">
        <v>2016.0</v>
      </c>
      <c r="D4" s="1">
        <v>6.5</v>
      </c>
      <c r="E4" s="1">
        <v>60.0</v>
      </c>
      <c r="F4" s="4">
        <v>8.3</v>
      </c>
      <c r="G4" s="8">
        <v>4.9</v>
      </c>
      <c r="H4" s="1">
        <v>1.19</v>
      </c>
      <c r="I4" s="1">
        <v>26.87</v>
      </c>
      <c r="J4" s="1">
        <v>0.38</v>
      </c>
      <c r="K4" s="1">
        <v>6.2</v>
      </c>
      <c r="L4" s="1">
        <v>61.0</v>
      </c>
      <c r="M4" s="1">
        <v>4.25</v>
      </c>
      <c r="N4" s="1" t="s">
        <v>17</v>
      </c>
    </row>
    <row r="5">
      <c r="A5" s="1" t="s">
        <v>32</v>
      </c>
      <c r="B5" s="1" t="s">
        <v>33</v>
      </c>
      <c r="C5" s="1">
        <v>2017.0</v>
      </c>
      <c r="D5" s="1">
        <v>6.9</v>
      </c>
      <c r="E5" s="1">
        <v>60.0</v>
      </c>
      <c r="F5" s="4">
        <v>6.8</v>
      </c>
      <c r="G5" s="8">
        <v>3.3</v>
      </c>
      <c r="H5" s="1">
        <v>1.16</v>
      </c>
      <c r="I5" s="1">
        <v>27.0</v>
      </c>
      <c r="J5" s="1">
        <v>0.02</v>
      </c>
      <c r="K5" s="1">
        <v>0.1</v>
      </c>
      <c r="L5" s="1">
        <v>62.0</v>
      </c>
      <c r="M5" s="1">
        <v>6.5</v>
      </c>
      <c r="N5" s="1" t="s">
        <v>17</v>
      </c>
    </row>
    <row r="6">
      <c r="A6" s="1" t="s">
        <v>32</v>
      </c>
      <c r="B6" s="1" t="s">
        <v>33</v>
      </c>
      <c r="C6" s="1">
        <v>2018.0</v>
      </c>
      <c r="D6" s="1">
        <v>10.91</v>
      </c>
      <c r="E6" s="1">
        <v>59.0</v>
      </c>
      <c r="F6" s="4">
        <v>6.5</v>
      </c>
      <c r="G6" s="8">
        <v>3.9</v>
      </c>
      <c r="H6" s="1">
        <v>1.09</v>
      </c>
      <c r="I6" s="1">
        <v>27.0</v>
      </c>
      <c r="J6" s="1">
        <v>-0.19</v>
      </c>
      <c r="K6" s="1">
        <v>0.1</v>
      </c>
      <c r="L6" s="1">
        <v>63.0</v>
      </c>
      <c r="M6" s="1">
        <v>6.9</v>
      </c>
      <c r="N6" s="1" t="s">
        <v>17</v>
      </c>
    </row>
    <row r="7">
      <c r="A7" s="1" t="s">
        <v>32</v>
      </c>
      <c r="B7" s="1" t="s">
        <v>33</v>
      </c>
      <c r="C7" s="1">
        <v>2019.0</v>
      </c>
      <c r="D7" s="1">
        <v>7.53</v>
      </c>
      <c r="E7" s="1">
        <v>59.0</v>
      </c>
      <c r="F7" s="4">
        <v>3.9</v>
      </c>
      <c r="G7" s="8">
        <v>3.7</v>
      </c>
      <c r="H7" s="1">
        <v>1.03</v>
      </c>
      <c r="I7" s="1">
        <v>27.06</v>
      </c>
      <c r="J7" s="1">
        <v>0.03</v>
      </c>
      <c r="K7" s="1">
        <v>5.9</v>
      </c>
      <c r="L7" s="1">
        <v>64.0</v>
      </c>
      <c r="M7" s="1">
        <v>10.91</v>
      </c>
      <c r="N7" s="1" t="s">
        <v>17</v>
      </c>
    </row>
    <row r="8">
      <c r="A8" s="1" t="s">
        <v>32</v>
      </c>
      <c r="B8" s="1" t="s">
        <v>33</v>
      </c>
      <c r="C8" s="1">
        <v>2020.0</v>
      </c>
      <c r="D8" s="1">
        <v>6.15</v>
      </c>
      <c r="E8" s="1">
        <v>60.0</v>
      </c>
      <c r="F8" s="4">
        <v>-5.8</v>
      </c>
      <c r="G8" s="8">
        <v>6.6</v>
      </c>
      <c r="H8" s="1">
        <v>0.96</v>
      </c>
      <c r="I8" s="1">
        <v>27.11</v>
      </c>
      <c r="J8" s="1">
        <v>0.38</v>
      </c>
      <c r="K8" s="1">
        <v>8.2</v>
      </c>
      <c r="L8" s="1">
        <v>65.0</v>
      </c>
      <c r="M8" s="1">
        <v>7.53</v>
      </c>
      <c r="N8" s="1" t="s">
        <v>17</v>
      </c>
    </row>
    <row r="9">
      <c r="A9" s="1" t="s">
        <v>32</v>
      </c>
      <c r="B9" s="1" t="s">
        <v>33</v>
      </c>
      <c r="C9" s="1">
        <v>2021.0</v>
      </c>
      <c r="D9" s="1">
        <v>4.98</v>
      </c>
      <c r="E9" s="1">
        <v>60.0</v>
      </c>
      <c r="F9" s="4">
        <v>9.7</v>
      </c>
      <c r="G9" s="8">
        <v>5.1</v>
      </c>
      <c r="H9" s="1">
        <v>0.8</v>
      </c>
      <c r="I9" s="1">
        <v>27.21</v>
      </c>
      <c r="J9" s="1">
        <v>0.54</v>
      </c>
      <c r="K9" s="1">
        <v>11.0</v>
      </c>
      <c r="L9" s="1">
        <v>66.0</v>
      </c>
      <c r="M9" s="1">
        <v>6.15</v>
      </c>
      <c r="N9" s="1" t="s">
        <v>17</v>
      </c>
    </row>
    <row r="10">
      <c r="A10" s="1" t="s">
        <v>32</v>
      </c>
      <c r="B10" s="1" t="s">
        <v>33</v>
      </c>
      <c r="C10" s="1">
        <v>2022.0</v>
      </c>
      <c r="D10" s="1">
        <v>3.97</v>
      </c>
      <c r="E10" s="1">
        <v>60.0</v>
      </c>
      <c r="F10" s="8">
        <v>7.6</v>
      </c>
      <c r="G10" s="8">
        <v>6.7</v>
      </c>
      <c r="H10" s="1">
        <v>0.68</v>
      </c>
      <c r="I10" s="1">
        <v>27.31</v>
      </c>
      <c r="J10" s="1">
        <v>0.71</v>
      </c>
      <c r="K10" s="1">
        <v>12.8</v>
      </c>
      <c r="L10" s="1">
        <v>67.0</v>
      </c>
      <c r="M10" s="1">
        <v>4.98</v>
      </c>
      <c r="N10" s="1" t="s">
        <v>17</v>
      </c>
    </row>
    <row r="11">
      <c r="A11" s="1" t="s">
        <v>32</v>
      </c>
      <c r="B11" s="1" t="s">
        <v>33</v>
      </c>
      <c r="C11" s="1">
        <v>2023.0</v>
      </c>
      <c r="D11" s="1">
        <v>2.78</v>
      </c>
      <c r="E11" s="1">
        <v>61.0</v>
      </c>
      <c r="F11" s="8">
        <v>9.2</v>
      </c>
      <c r="G11" s="8">
        <v>5.7</v>
      </c>
      <c r="H11" s="1">
        <v>0.81</v>
      </c>
      <c r="I11" s="1">
        <v>27.31</v>
      </c>
      <c r="J11" s="1">
        <v>0.96</v>
      </c>
      <c r="K11" s="1">
        <v>15.0</v>
      </c>
      <c r="L11" s="1">
        <v>68.0</v>
      </c>
      <c r="M11" s="1">
        <v>3.97</v>
      </c>
      <c r="N11" s="1" t="s">
        <v>17</v>
      </c>
    </row>
    <row r="12">
      <c r="A12" s="1" t="s">
        <v>32</v>
      </c>
      <c r="B12" s="1" t="s">
        <v>33</v>
      </c>
      <c r="C12" s="1">
        <v>2024.0</v>
      </c>
      <c r="D12" s="1">
        <v>1.82</v>
      </c>
      <c r="E12" s="1">
        <v>62.0</v>
      </c>
      <c r="F12" s="9">
        <v>6.5</v>
      </c>
      <c r="G12" s="9">
        <v>4.9</v>
      </c>
      <c r="H12" s="1">
        <v>0.89</v>
      </c>
      <c r="I12" s="1">
        <v>27.42</v>
      </c>
      <c r="J12" s="1">
        <v>1.04</v>
      </c>
      <c r="K12" s="1">
        <v>15.6</v>
      </c>
      <c r="L12" s="1">
        <v>69.0</v>
      </c>
      <c r="M12" s="1">
        <v>2.78</v>
      </c>
      <c r="N12" s="1" t="s">
        <v>17</v>
      </c>
    </row>
    <row r="13">
      <c r="A13" s="1" t="s">
        <v>32</v>
      </c>
      <c r="B13" s="1" t="s">
        <v>34</v>
      </c>
      <c r="C13" s="1">
        <v>2014.0</v>
      </c>
      <c r="D13" s="1">
        <v>0.98</v>
      </c>
      <c r="E13" s="1">
        <v>62.0</v>
      </c>
      <c r="F13" s="4">
        <v>7.4</v>
      </c>
      <c r="G13" s="8">
        <v>6.6</v>
      </c>
      <c r="H13" s="1">
        <v>1.25</v>
      </c>
      <c r="I13" s="1">
        <v>25.17</v>
      </c>
      <c r="J13" s="1">
        <v>1.96</v>
      </c>
      <c r="K13" s="1">
        <v>16.2</v>
      </c>
      <c r="L13" s="1">
        <v>20.0</v>
      </c>
      <c r="M13" s="1">
        <v>0.97</v>
      </c>
      <c r="N13" s="1" t="s">
        <v>19</v>
      </c>
    </row>
    <row r="14">
      <c r="A14" s="1" t="s">
        <v>32</v>
      </c>
      <c r="B14" s="1" t="s">
        <v>34</v>
      </c>
      <c r="C14" s="1">
        <v>2015.0</v>
      </c>
      <c r="D14" s="1">
        <v>1.0</v>
      </c>
      <c r="E14" s="1">
        <v>62.0</v>
      </c>
      <c r="F14" s="4">
        <v>8.0</v>
      </c>
      <c r="G14" s="8">
        <v>4.9</v>
      </c>
      <c r="H14" s="1">
        <v>1.19</v>
      </c>
      <c r="I14" s="1">
        <v>25.34</v>
      </c>
      <c r="J14" s="1">
        <v>1.97</v>
      </c>
      <c r="K14" s="1">
        <v>16.2</v>
      </c>
      <c r="L14" s="1">
        <v>21.0</v>
      </c>
      <c r="M14" s="1">
        <v>0.98</v>
      </c>
      <c r="N14" s="1" t="s">
        <v>19</v>
      </c>
    </row>
    <row r="15">
      <c r="A15" s="1" t="s">
        <v>32</v>
      </c>
      <c r="B15" s="1" t="s">
        <v>34</v>
      </c>
      <c r="C15" s="1">
        <v>2016.0</v>
      </c>
      <c r="D15" s="1">
        <v>1.1</v>
      </c>
      <c r="E15" s="1">
        <v>60.0</v>
      </c>
      <c r="F15" s="4">
        <v>8.3</v>
      </c>
      <c r="G15" s="8">
        <v>4.9</v>
      </c>
      <c r="H15" s="1">
        <v>1.19</v>
      </c>
      <c r="I15" s="1">
        <v>25.49</v>
      </c>
      <c r="J15" s="1">
        <v>1.99</v>
      </c>
      <c r="K15" s="1">
        <v>16.2</v>
      </c>
      <c r="L15" s="1">
        <v>22.0</v>
      </c>
      <c r="M15" s="1">
        <v>1.0</v>
      </c>
      <c r="N15" s="1" t="s">
        <v>19</v>
      </c>
    </row>
    <row r="16">
      <c r="A16" s="1" t="s">
        <v>32</v>
      </c>
      <c r="B16" s="1" t="s">
        <v>34</v>
      </c>
      <c r="C16" s="1">
        <v>2017.0</v>
      </c>
      <c r="D16" s="1">
        <v>1.05</v>
      </c>
      <c r="E16" s="1">
        <v>60.0</v>
      </c>
      <c r="F16" s="4">
        <v>6.8</v>
      </c>
      <c r="G16" s="8">
        <v>3.3</v>
      </c>
      <c r="H16" s="1">
        <v>1.16</v>
      </c>
      <c r="I16" s="1">
        <v>25.65</v>
      </c>
      <c r="J16" s="1">
        <v>1.88</v>
      </c>
      <c r="K16" s="1">
        <v>15.3</v>
      </c>
      <c r="L16" s="1">
        <v>23.0</v>
      </c>
      <c r="M16" s="1">
        <v>1.1</v>
      </c>
      <c r="N16" s="1" t="s">
        <v>19</v>
      </c>
    </row>
    <row r="17">
      <c r="A17" s="1" t="s">
        <v>32</v>
      </c>
      <c r="B17" s="1" t="s">
        <v>34</v>
      </c>
      <c r="C17" s="1">
        <v>2018.0</v>
      </c>
      <c r="D17" s="1">
        <v>1.28</v>
      </c>
      <c r="E17" s="1">
        <v>59.0</v>
      </c>
      <c r="F17" s="4">
        <v>6.5</v>
      </c>
      <c r="G17" s="8">
        <v>3.9</v>
      </c>
      <c r="H17" s="1">
        <v>1.09</v>
      </c>
      <c r="I17" s="1">
        <v>25.83</v>
      </c>
      <c r="J17" s="1">
        <v>1.93</v>
      </c>
      <c r="K17" s="1">
        <v>16.3</v>
      </c>
      <c r="L17" s="1">
        <v>24.0</v>
      </c>
      <c r="M17" s="1">
        <v>1.05</v>
      </c>
      <c r="N17" s="1" t="s">
        <v>19</v>
      </c>
    </row>
    <row r="18">
      <c r="A18" s="1" t="s">
        <v>32</v>
      </c>
      <c r="B18" s="1" t="s">
        <v>34</v>
      </c>
      <c r="C18" s="1">
        <v>2019.0</v>
      </c>
      <c r="D18" s="1">
        <v>1.36</v>
      </c>
      <c r="E18" s="1">
        <v>59.0</v>
      </c>
      <c r="F18" s="4">
        <v>3.9</v>
      </c>
      <c r="G18" s="8">
        <v>3.7</v>
      </c>
      <c r="H18" s="1">
        <v>1.03</v>
      </c>
      <c r="I18" s="1">
        <v>25.93</v>
      </c>
      <c r="J18" s="1">
        <v>1.92</v>
      </c>
      <c r="K18" s="1">
        <v>13.5</v>
      </c>
      <c r="L18" s="1">
        <v>25.0</v>
      </c>
      <c r="M18" s="1">
        <v>1.28</v>
      </c>
      <c r="N18" s="1" t="s">
        <v>19</v>
      </c>
    </row>
    <row r="19">
      <c r="A19" s="1" t="s">
        <v>32</v>
      </c>
      <c r="B19" s="1" t="s">
        <v>34</v>
      </c>
      <c r="C19" s="1">
        <v>2020.0</v>
      </c>
      <c r="D19" s="1">
        <v>1.26</v>
      </c>
      <c r="E19" s="1">
        <v>60.0</v>
      </c>
      <c r="F19" s="4">
        <v>-5.8</v>
      </c>
      <c r="G19" s="8">
        <v>6.6</v>
      </c>
      <c r="H19" s="1">
        <v>0.96</v>
      </c>
      <c r="I19" s="1">
        <v>26.09</v>
      </c>
      <c r="J19" s="1">
        <v>1.91</v>
      </c>
      <c r="K19" s="1">
        <v>15.2</v>
      </c>
      <c r="L19" s="1">
        <v>26.0</v>
      </c>
      <c r="M19" s="1">
        <v>1.36</v>
      </c>
      <c r="N19" s="1" t="s">
        <v>19</v>
      </c>
    </row>
    <row r="20">
      <c r="A20" s="1" t="s">
        <v>32</v>
      </c>
      <c r="B20" s="1" t="s">
        <v>34</v>
      </c>
      <c r="C20" s="1">
        <v>2021.0</v>
      </c>
      <c r="D20" s="1">
        <v>1.47</v>
      </c>
      <c r="E20" s="1">
        <v>60.0</v>
      </c>
      <c r="F20" s="4">
        <v>9.7</v>
      </c>
      <c r="G20" s="8">
        <v>5.1</v>
      </c>
      <c r="H20" s="1">
        <v>0.8</v>
      </c>
      <c r="I20" s="1">
        <v>26.24</v>
      </c>
      <c r="J20" s="1">
        <v>1.88</v>
      </c>
      <c r="K20" s="1">
        <v>15.5</v>
      </c>
      <c r="L20" s="1">
        <v>27.0</v>
      </c>
      <c r="M20" s="1">
        <v>1.26</v>
      </c>
      <c r="N20" s="1" t="s">
        <v>19</v>
      </c>
    </row>
    <row r="21">
      <c r="A21" s="1" t="s">
        <v>32</v>
      </c>
      <c r="B21" s="1" t="s">
        <v>34</v>
      </c>
      <c r="C21" s="1">
        <v>2022.0</v>
      </c>
      <c r="D21" s="1">
        <v>1.17</v>
      </c>
      <c r="E21" s="1">
        <v>60.0</v>
      </c>
      <c r="F21" s="8">
        <v>7.6</v>
      </c>
      <c r="G21" s="8">
        <v>6.7</v>
      </c>
      <c r="H21" s="1">
        <v>0.68</v>
      </c>
      <c r="I21" s="1">
        <v>26.36</v>
      </c>
      <c r="J21" s="1">
        <v>1.95</v>
      </c>
      <c r="K21" s="1">
        <v>16.9</v>
      </c>
      <c r="L21" s="1">
        <v>28.0</v>
      </c>
      <c r="M21" s="1">
        <v>1.47</v>
      </c>
      <c r="N21" s="1" t="s">
        <v>19</v>
      </c>
    </row>
    <row r="22">
      <c r="A22" s="1" t="s">
        <v>32</v>
      </c>
      <c r="B22" s="1" t="s">
        <v>34</v>
      </c>
      <c r="C22" s="1">
        <v>2023.0</v>
      </c>
      <c r="D22" s="1">
        <v>1.1</v>
      </c>
      <c r="E22" s="1">
        <v>61.0</v>
      </c>
      <c r="F22" s="8">
        <v>9.2</v>
      </c>
      <c r="G22" s="8">
        <v>5.7</v>
      </c>
      <c r="H22" s="1">
        <v>0.81</v>
      </c>
      <c r="I22" s="1">
        <v>26.46</v>
      </c>
      <c r="J22" s="1">
        <v>1.98</v>
      </c>
      <c r="K22" s="1">
        <v>13.43</v>
      </c>
      <c r="L22" s="1">
        <v>29.0</v>
      </c>
      <c r="M22" s="1">
        <v>1.17</v>
      </c>
      <c r="N22" s="1" t="s">
        <v>19</v>
      </c>
    </row>
    <row r="23">
      <c r="A23" s="1" t="s">
        <v>32</v>
      </c>
      <c r="B23" s="1" t="s">
        <v>34</v>
      </c>
      <c r="C23" s="1">
        <v>2024.0</v>
      </c>
      <c r="D23" s="1">
        <v>1.2</v>
      </c>
      <c r="E23" s="1">
        <v>62.0</v>
      </c>
      <c r="F23" s="9">
        <v>6.5</v>
      </c>
      <c r="G23" s="9">
        <v>4.9</v>
      </c>
      <c r="H23" s="1">
        <v>0.89</v>
      </c>
      <c r="I23" s="1">
        <v>26.92</v>
      </c>
      <c r="J23" s="1">
        <v>2.0</v>
      </c>
      <c r="K23" s="1">
        <v>14.04</v>
      </c>
      <c r="L23" s="1">
        <v>30.0</v>
      </c>
      <c r="M23" s="1">
        <v>1.1</v>
      </c>
      <c r="N23" s="1" t="s">
        <v>19</v>
      </c>
    </row>
    <row r="24">
      <c r="A24" s="1" t="s">
        <v>32</v>
      </c>
      <c r="B24" s="1" t="s">
        <v>35</v>
      </c>
      <c r="C24" s="1">
        <v>2014.0</v>
      </c>
      <c r="D24" s="1">
        <v>3.19</v>
      </c>
      <c r="E24" s="1">
        <v>62.0</v>
      </c>
      <c r="F24" s="4">
        <v>7.4</v>
      </c>
      <c r="G24" s="8">
        <v>6.6</v>
      </c>
      <c r="H24" s="1">
        <v>1.25</v>
      </c>
      <c r="I24" s="1">
        <v>25.55</v>
      </c>
      <c r="J24" s="1">
        <v>1.71</v>
      </c>
      <c r="K24" s="1">
        <v>16.5</v>
      </c>
      <c r="L24" s="1">
        <v>20.0</v>
      </c>
      <c r="M24" s="1">
        <v>3.03</v>
      </c>
      <c r="N24" s="1" t="s">
        <v>19</v>
      </c>
    </row>
    <row r="25">
      <c r="A25" s="1" t="s">
        <v>32</v>
      </c>
      <c r="B25" s="1" t="s">
        <v>35</v>
      </c>
      <c r="C25" s="1">
        <v>2015.0</v>
      </c>
      <c r="D25" s="1">
        <v>3.78</v>
      </c>
      <c r="E25" s="1">
        <v>62.0</v>
      </c>
      <c r="F25" s="4">
        <v>8.0</v>
      </c>
      <c r="G25" s="8">
        <v>4.9</v>
      </c>
      <c r="H25" s="1">
        <v>1.19</v>
      </c>
      <c r="I25" s="1">
        <v>25.62</v>
      </c>
      <c r="J25" s="1">
        <v>1.53</v>
      </c>
      <c r="K25" s="1">
        <v>15.5</v>
      </c>
      <c r="L25" s="1">
        <v>21.0</v>
      </c>
      <c r="M25" s="1">
        <v>3.19</v>
      </c>
      <c r="N25" s="1" t="s">
        <v>19</v>
      </c>
    </row>
    <row r="26">
      <c r="A26" s="1" t="s">
        <v>32</v>
      </c>
      <c r="B26" s="1" t="s">
        <v>35</v>
      </c>
      <c r="C26" s="1">
        <v>2016.0</v>
      </c>
      <c r="D26" s="1">
        <v>5.87</v>
      </c>
      <c r="E26" s="1">
        <v>60.0</v>
      </c>
      <c r="F26" s="4">
        <v>8.3</v>
      </c>
      <c r="G26" s="8">
        <v>4.9</v>
      </c>
      <c r="H26" s="1">
        <v>1.19</v>
      </c>
      <c r="I26" s="1">
        <v>25.66</v>
      </c>
      <c r="J26" s="1">
        <v>1.0</v>
      </c>
      <c r="K26" s="1">
        <v>13.0</v>
      </c>
      <c r="L26" s="1">
        <v>22.0</v>
      </c>
      <c r="M26" s="1">
        <v>3.78</v>
      </c>
      <c r="N26" s="1" t="s">
        <v>19</v>
      </c>
    </row>
    <row r="27">
      <c r="A27" s="1" t="s">
        <v>32</v>
      </c>
      <c r="B27" s="1" t="s">
        <v>35</v>
      </c>
      <c r="C27" s="1">
        <v>2017.0</v>
      </c>
      <c r="D27" s="1">
        <v>7.89</v>
      </c>
      <c r="E27" s="1">
        <v>60.0</v>
      </c>
      <c r="F27" s="4">
        <v>6.8</v>
      </c>
      <c r="G27" s="8">
        <v>3.3</v>
      </c>
      <c r="H27" s="1">
        <v>1.16</v>
      </c>
      <c r="I27" s="1">
        <v>25.74</v>
      </c>
      <c r="J27" s="1">
        <v>0.64</v>
      </c>
      <c r="K27" s="1">
        <v>9.3</v>
      </c>
      <c r="L27" s="1">
        <v>23.0</v>
      </c>
      <c r="M27" s="1">
        <v>5.87</v>
      </c>
      <c r="N27" s="1" t="s">
        <v>19</v>
      </c>
    </row>
    <row r="28">
      <c r="A28" s="1" t="s">
        <v>32</v>
      </c>
      <c r="B28" s="1" t="s">
        <v>35</v>
      </c>
      <c r="C28" s="1">
        <v>2018.0</v>
      </c>
      <c r="D28" s="1">
        <v>8.84</v>
      </c>
      <c r="E28" s="1">
        <v>59.0</v>
      </c>
      <c r="F28" s="4">
        <v>6.5</v>
      </c>
      <c r="G28" s="8">
        <v>3.9</v>
      </c>
      <c r="H28" s="1">
        <v>1.09</v>
      </c>
      <c r="I28" s="1">
        <v>25.85</v>
      </c>
      <c r="J28" s="1">
        <v>0.67</v>
      </c>
      <c r="K28" s="1">
        <v>8.1</v>
      </c>
      <c r="L28" s="1">
        <v>24.0</v>
      </c>
      <c r="M28" s="1">
        <v>7.89</v>
      </c>
      <c r="N28" s="1" t="s">
        <v>19</v>
      </c>
    </row>
    <row r="29">
      <c r="A29" s="1" t="s">
        <v>32</v>
      </c>
      <c r="B29" s="1" t="s">
        <v>35</v>
      </c>
      <c r="C29" s="1">
        <v>2019.0</v>
      </c>
      <c r="D29" s="1">
        <v>6.7</v>
      </c>
      <c r="E29" s="1">
        <v>59.0</v>
      </c>
      <c r="F29" s="4">
        <v>3.9</v>
      </c>
      <c r="G29" s="8">
        <v>3.7</v>
      </c>
      <c r="H29" s="1">
        <v>1.03</v>
      </c>
      <c r="I29" s="1">
        <v>25.89</v>
      </c>
      <c r="J29" s="1">
        <v>1.1</v>
      </c>
      <c r="K29" s="1">
        <v>13.0</v>
      </c>
      <c r="L29" s="1">
        <v>25.0</v>
      </c>
      <c r="M29" s="1">
        <v>8.84</v>
      </c>
      <c r="N29" s="1" t="s">
        <v>19</v>
      </c>
    </row>
    <row r="30">
      <c r="A30" s="1" t="s">
        <v>32</v>
      </c>
      <c r="B30" s="1" t="s">
        <v>35</v>
      </c>
      <c r="C30" s="1">
        <v>2020.0</v>
      </c>
      <c r="D30" s="1">
        <v>5.53</v>
      </c>
      <c r="E30" s="1">
        <v>60.0</v>
      </c>
      <c r="F30" s="4">
        <v>-5.8</v>
      </c>
      <c r="G30" s="8">
        <v>6.6</v>
      </c>
      <c r="H30" s="1">
        <v>0.96</v>
      </c>
      <c r="I30" s="1">
        <v>25.95</v>
      </c>
      <c r="J30" s="1">
        <v>1.37</v>
      </c>
      <c r="K30" s="1">
        <v>14.8</v>
      </c>
      <c r="L30" s="1">
        <v>26.0</v>
      </c>
      <c r="M30" s="1">
        <v>6.7</v>
      </c>
      <c r="N30" s="1" t="s">
        <v>19</v>
      </c>
    </row>
    <row r="31">
      <c r="A31" s="1" t="s">
        <v>32</v>
      </c>
      <c r="B31" s="1" t="s">
        <v>35</v>
      </c>
      <c r="C31" s="1">
        <v>2021.0</v>
      </c>
      <c r="D31" s="1">
        <v>4.82</v>
      </c>
      <c r="E31" s="1">
        <v>60.0</v>
      </c>
      <c r="F31" s="4">
        <v>9.7</v>
      </c>
      <c r="G31" s="8">
        <v>5.1</v>
      </c>
      <c r="H31" s="1">
        <v>0.8</v>
      </c>
      <c r="I31" s="1">
        <v>26.11</v>
      </c>
      <c r="J31" s="1">
        <v>1.55</v>
      </c>
      <c r="K31" s="1">
        <v>14.7</v>
      </c>
      <c r="L31" s="1">
        <v>27.0</v>
      </c>
      <c r="M31" s="1">
        <v>5.53</v>
      </c>
      <c r="N31" s="1" t="s">
        <v>19</v>
      </c>
    </row>
    <row r="32">
      <c r="A32" s="1" t="s">
        <v>32</v>
      </c>
      <c r="B32" s="1" t="s">
        <v>35</v>
      </c>
      <c r="C32" s="1">
        <v>2022.0</v>
      </c>
      <c r="D32" s="1">
        <v>3.96</v>
      </c>
      <c r="E32" s="1">
        <v>60.0</v>
      </c>
      <c r="F32" s="8">
        <v>7.6</v>
      </c>
      <c r="G32" s="8">
        <v>6.7</v>
      </c>
      <c r="H32" s="1">
        <v>0.68</v>
      </c>
      <c r="I32" s="1">
        <v>26.16</v>
      </c>
      <c r="J32" s="1">
        <v>1.86</v>
      </c>
      <c r="K32" s="1">
        <v>15.5</v>
      </c>
      <c r="L32" s="1">
        <v>28.0</v>
      </c>
      <c r="M32" s="1">
        <v>4.82</v>
      </c>
      <c r="N32" s="1" t="s">
        <v>19</v>
      </c>
    </row>
    <row r="33">
      <c r="A33" s="1" t="s">
        <v>32</v>
      </c>
      <c r="B33" s="1" t="s">
        <v>35</v>
      </c>
      <c r="C33" s="1">
        <v>2023.0</v>
      </c>
      <c r="D33" s="1">
        <v>2.9</v>
      </c>
      <c r="E33" s="1">
        <v>61.0</v>
      </c>
      <c r="F33" s="8">
        <v>9.2</v>
      </c>
      <c r="G33" s="8">
        <v>5.7</v>
      </c>
      <c r="H33" s="1">
        <v>0.81</v>
      </c>
      <c r="I33" s="1">
        <v>26.2</v>
      </c>
      <c r="J33" s="1">
        <v>2.08</v>
      </c>
      <c r="K33" s="1">
        <v>17.7</v>
      </c>
      <c r="L33" s="1">
        <v>29.0</v>
      </c>
      <c r="M33" s="1">
        <v>3.96</v>
      </c>
      <c r="N33" s="1" t="s">
        <v>19</v>
      </c>
    </row>
    <row r="34">
      <c r="A34" s="1" t="s">
        <v>32</v>
      </c>
      <c r="B34" s="1" t="s">
        <v>35</v>
      </c>
      <c r="C34" s="1">
        <v>2024.0</v>
      </c>
      <c r="D34" s="1">
        <v>2.3</v>
      </c>
      <c r="E34" s="1">
        <v>62.0</v>
      </c>
      <c r="F34" s="9">
        <v>6.5</v>
      </c>
      <c r="G34" s="9">
        <v>4.9</v>
      </c>
      <c r="H34" s="1">
        <v>0.89</v>
      </c>
      <c r="I34" s="1">
        <v>26.39</v>
      </c>
      <c r="J34" s="1">
        <v>2.17</v>
      </c>
      <c r="K34" s="1">
        <v>19.5</v>
      </c>
      <c r="L34" s="1">
        <v>30.0</v>
      </c>
      <c r="M34" s="1">
        <v>2.9</v>
      </c>
      <c r="N34" s="1" t="s">
        <v>19</v>
      </c>
    </row>
    <row r="35">
      <c r="A35" s="1" t="s">
        <v>32</v>
      </c>
      <c r="B35" s="1" t="s">
        <v>36</v>
      </c>
      <c r="C35" s="1">
        <v>2014.0</v>
      </c>
      <c r="D35" s="1">
        <v>4.96</v>
      </c>
      <c r="E35" s="1">
        <v>62.0</v>
      </c>
      <c r="F35" s="4">
        <v>7.4</v>
      </c>
      <c r="G35" s="8">
        <v>6.6</v>
      </c>
      <c r="H35" s="1">
        <v>1.25</v>
      </c>
      <c r="I35" s="1">
        <v>25.29</v>
      </c>
      <c r="J35" s="1">
        <v>0.83</v>
      </c>
      <c r="K35" s="1">
        <v>7.71</v>
      </c>
      <c r="L35" s="1">
        <v>120.0</v>
      </c>
      <c r="M35" s="1">
        <v>4.27</v>
      </c>
      <c r="N35" s="1" t="s">
        <v>17</v>
      </c>
    </row>
    <row r="36">
      <c r="A36" s="1" t="s">
        <v>32</v>
      </c>
      <c r="B36" s="1" t="s">
        <v>36</v>
      </c>
      <c r="C36" s="1">
        <v>2015.0</v>
      </c>
      <c r="D36" s="1">
        <v>6.55</v>
      </c>
      <c r="E36" s="1">
        <v>62.0</v>
      </c>
      <c r="F36" s="4">
        <v>8.0</v>
      </c>
      <c r="G36" s="8">
        <v>4.9</v>
      </c>
      <c r="H36" s="1">
        <v>1.19</v>
      </c>
      <c r="I36" s="1">
        <v>25.35</v>
      </c>
      <c r="J36" s="1">
        <v>0.56</v>
      </c>
      <c r="K36" s="1">
        <v>4.91</v>
      </c>
      <c r="L36" s="1">
        <v>121.0</v>
      </c>
      <c r="M36" s="1">
        <v>4.96</v>
      </c>
      <c r="N36" s="1" t="s">
        <v>17</v>
      </c>
    </row>
    <row r="37">
      <c r="A37" s="1" t="s">
        <v>32</v>
      </c>
      <c r="B37" s="1" t="s">
        <v>36</v>
      </c>
      <c r="C37" s="1">
        <v>2016.0</v>
      </c>
      <c r="D37" s="1">
        <v>12.9</v>
      </c>
      <c r="E37" s="1">
        <v>60.0</v>
      </c>
      <c r="F37" s="4">
        <v>8.3</v>
      </c>
      <c r="G37" s="8">
        <v>4.9</v>
      </c>
      <c r="H37" s="1">
        <v>1.19</v>
      </c>
      <c r="I37" s="1">
        <v>25.41</v>
      </c>
      <c r="J37" s="1">
        <v>-0.64</v>
      </c>
      <c r="K37" s="1">
        <v>-7.52</v>
      </c>
      <c r="L37" s="1">
        <v>122.0</v>
      </c>
      <c r="M37" s="1">
        <v>6.55</v>
      </c>
      <c r="N37" s="1" t="s">
        <v>17</v>
      </c>
    </row>
    <row r="38">
      <c r="A38" s="1" t="s">
        <v>32</v>
      </c>
      <c r="B38" s="1" t="s">
        <v>36</v>
      </c>
      <c r="C38" s="1">
        <v>2017.0</v>
      </c>
      <c r="D38" s="1">
        <v>13.7</v>
      </c>
      <c r="E38" s="1">
        <v>60.0</v>
      </c>
      <c r="F38" s="4">
        <v>6.8</v>
      </c>
      <c r="G38" s="8">
        <v>3.3</v>
      </c>
      <c r="H38" s="1">
        <v>1.16</v>
      </c>
      <c r="I38" s="1">
        <v>25.45</v>
      </c>
      <c r="J38" s="1">
        <v>-1.6</v>
      </c>
      <c r="K38" s="1">
        <v>2.75</v>
      </c>
      <c r="L38" s="1">
        <v>123.0</v>
      </c>
      <c r="M38" s="1">
        <v>12.9</v>
      </c>
      <c r="N38" s="1" t="s">
        <v>17</v>
      </c>
    </row>
    <row r="39">
      <c r="A39" s="1" t="s">
        <v>32</v>
      </c>
      <c r="B39" s="1" t="s">
        <v>36</v>
      </c>
      <c r="C39" s="1">
        <v>2018.0</v>
      </c>
      <c r="D39" s="1">
        <v>18.3</v>
      </c>
      <c r="E39" s="1">
        <v>59.0</v>
      </c>
      <c r="F39" s="4">
        <v>6.5</v>
      </c>
      <c r="G39" s="8">
        <v>3.9</v>
      </c>
      <c r="H39" s="1">
        <v>1.09</v>
      </c>
      <c r="I39" s="1">
        <v>25.48</v>
      </c>
      <c r="J39" s="1">
        <v>-0.52</v>
      </c>
      <c r="K39" s="1">
        <v>-28.55</v>
      </c>
      <c r="L39" s="1">
        <v>124.0</v>
      </c>
      <c r="M39" s="1">
        <v>13.7</v>
      </c>
      <c r="N39" s="1" t="s">
        <v>17</v>
      </c>
    </row>
    <row r="40">
      <c r="A40" s="1" t="s">
        <v>32</v>
      </c>
      <c r="B40" s="1" t="s">
        <v>36</v>
      </c>
      <c r="C40" s="1">
        <v>2019.0</v>
      </c>
      <c r="D40" s="1">
        <v>16.8</v>
      </c>
      <c r="E40" s="1">
        <v>59.0</v>
      </c>
      <c r="F40" s="4">
        <v>3.9</v>
      </c>
      <c r="G40" s="8">
        <v>3.7</v>
      </c>
      <c r="H40" s="1">
        <v>1.03</v>
      </c>
      <c r="I40" s="1">
        <v>25.44</v>
      </c>
      <c r="J40" s="1">
        <v>0.06</v>
      </c>
      <c r="K40" s="1">
        <v>-21.02</v>
      </c>
      <c r="L40" s="1">
        <v>125.0</v>
      </c>
      <c r="M40" s="1">
        <v>18.3</v>
      </c>
      <c r="N40" s="1" t="s">
        <v>17</v>
      </c>
    </row>
    <row r="41">
      <c r="A41" s="1" t="s">
        <v>32</v>
      </c>
      <c r="B41" s="1" t="s">
        <v>36</v>
      </c>
      <c r="C41" s="1">
        <v>2020.0</v>
      </c>
      <c r="D41" s="1">
        <v>14.2</v>
      </c>
      <c r="E41" s="1">
        <v>60.0</v>
      </c>
      <c r="F41" s="4">
        <v>-5.8</v>
      </c>
      <c r="G41" s="8">
        <v>6.6</v>
      </c>
      <c r="H41" s="1">
        <v>0.96</v>
      </c>
      <c r="I41" s="1">
        <v>25.47</v>
      </c>
      <c r="J41" s="1">
        <v>0.28</v>
      </c>
      <c r="K41" s="1">
        <v>0.69</v>
      </c>
      <c r="L41" s="1">
        <v>126.0</v>
      </c>
      <c r="M41" s="1">
        <v>16.8</v>
      </c>
      <c r="N41" s="1" t="s">
        <v>17</v>
      </c>
    </row>
    <row r="42">
      <c r="A42" s="1" t="s">
        <v>32</v>
      </c>
      <c r="B42" s="1" t="s">
        <v>36</v>
      </c>
      <c r="C42" s="1">
        <v>2021.0</v>
      </c>
      <c r="D42" s="1">
        <v>14.1</v>
      </c>
      <c r="E42" s="1">
        <v>60.0</v>
      </c>
      <c r="F42" s="4">
        <v>9.7</v>
      </c>
      <c r="G42" s="8">
        <v>5.1</v>
      </c>
      <c r="H42" s="1">
        <v>0.8</v>
      </c>
      <c r="I42" s="1">
        <v>25.9</v>
      </c>
      <c r="J42" s="1">
        <v>0.2</v>
      </c>
      <c r="K42" s="1">
        <v>2.98</v>
      </c>
      <c r="L42" s="1">
        <v>127.0</v>
      </c>
      <c r="M42" s="1">
        <v>14.2</v>
      </c>
      <c r="N42" s="1" t="s">
        <v>17</v>
      </c>
    </row>
    <row r="43">
      <c r="A43" s="1" t="s">
        <v>32</v>
      </c>
      <c r="B43" s="1" t="s">
        <v>36</v>
      </c>
      <c r="C43" s="1">
        <v>2022.0</v>
      </c>
      <c r="D43" s="1">
        <v>11.78</v>
      </c>
      <c r="E43" s="1">
        <v>60.0</v>
      </c>
      <c r="F43" s="8">
        <v>7.6</v>
      </c>
      <c r="G43" s="8">
        <v>6.7</v>
      </c>
      <c r="H43" s="1">
        <v>0.68</v>
      </c>
      <c r="I43" s="1">
        <v>25.9</v>
      </c>
      <c r="J43" s="1">
        <v>0.32</v>
      </c>
      <c r="K43" s="1">
        <v>4.18</v>
      </c>
      <c r="L43" s="1">
        <v>128.0</v>
      </c>
      <c r="M43" s="1">
        <v>14.1</v>
      </c>
      <c r="N43" s="1" t="s">
        <v>17</v>
      </c>
    </row>
    <row r="44">
      <c r="A44" s="1" t="s">
        <v>32</v>
      </c>
      <c r="B44" s="1" t="s">
        <v>36</v>
      </c>
      <c r="C44" s="1">
        <v>2023.0</v>
      </c>
      <c r="D44" s="1">
        <v>8.7</v>
      </c>
      <c r="E44" s="1">
        <v>61.0</v>
      </c>
      <c r="F44" s="8">
        <v>9.2</v>
      </c>
      <c r="G44" s="8">
        <v>5.7</v>
      </c>
      <c r="H44" s="1">
        <v>0.81</v>
      </c>
      <c r="I44" s="1">
        <v>25.93</v>
      </c>
      <c r="J44" s="1">
        <v>0.2</v>
      </c>
      <c r="K44" s="1">
        <v>3.32</v>
      </c>
      <c r="L44" s="1">
        <v>129.0</v>
      </c>
      <c r="M44" s="1">
        <v>11.78</v>
      </c>
      <c r="N44" s="1" t="s">
        <v>17</v>
      </c>
    </row>
    <row r="45">
      <c r="A45" s="1" t="s">
        <v>32</v>
      </c>
      <c r="B45" s="1" t="s">
        <v>36</v>
      </c>
      <c r="C45" s="1">
        <v>2024.0</v>
      </c>
      <c r="D45" s="1">
        <v>3.95</v>
      </c>
      <c r="E45" s="1">
        <v>62.0</v>
      </c>
      <c r="F45" s="9">
        <v>6.5</v>
      </c>
      <c r="G45" s="9">
        <v>4.9</v>
      </c>
      <c r="H45" s="1">
        <v>0.89</v>
      </c>
      <c r="I45" s="1">
        <v>26.0</v>
      </c>
      <c r="J45" s="1">
        <v>0.99</v>
      </c>
      <c r="K45" s="1">
        <v>8.48</v>
      </c>
      <c r="L45" s="1">
        <v>130.0</v>
      </c>
      <c r="M45" s="1">
        <v>8.7</v>
      </c>
      <c r="N45" s="1" t="s">
        <v>17</v>
      </c>
    </row>
    <row r="46">
      <c r="A46" s="1" t="s">
        <v>32</v>
      </c>
      <c r="B46" s="1" t="s">
        <v>37</v>
      </c>
      <c r="C46" s="1">
        <v>2014.0</v>
      </c>
      <c r="D46" s="1">
        <v>2.96</v>
      </c>
      <c r="E46" s="1">
        <v>62.0</v>
      </c>
      <c r="F46" s="4">
        <v>7.4</v>
      </c>
      <c r="G46" s="8">
        <v>6.6</v>
      </c>
      <c r="H46" s="1">
        <v>1.25</v>
      </c>
      <c r="I46" s="1">
        <v>25.45</v>
      </c>
      <c r="J46" s="1">
        <v>0.54</v>
      </c>
      <c r="K46" s="1">
        <v>7.27</v>
      </c>
      <c r="L46" s="1">
        <v>106.0</v>
      </c>
      <c r="M46" s="1">
        <v>2.99</v>
      </c>
      <c r="N46" s="1" t="s">
        <v>17</v>
      </c>
    </row>
    <row r="47">
      <c r="A47" s="1" t="s">
        <v>32</v>
      </c>
      <c r="B47" s="1" t="s">
        <v>37</v>
      </c>
      <c r="C47" s="1">
        <v>2015.0</v>
      </c>
      <c r="D47" s="1">
        <v>3.72</v>
      </c>
      <c r="E47" s="1">
        <v>62.0</v>
      </c>
      <c r="F47" s="4">
        <v>8.0</v>
      </c>
      <c r="G47" s="8">
        <v>4.9</v>
      </c>
      <c r="H47" s="1">
        <v>1.19</v>
      </c>
      <c r="I47" s="1">
        <v>25.5</v>
      </c>
      <c r="J47" s="1">
        <v>0.25</v>
      </c>
      <c r="K47" s="1">
        <v>2.33</v>
      </c>
      <c r="L47" s="1">
        <v>107.0</v>
      </c>
      <c r="M47" s="1">
        <v>2.96</v>
      </c>
      <c r="N47" s="1" t="s">
        <v>17</v>
      </c>
    </row>
    <row r="48">
      <c r="A48" s="1" t="s">
        <v>32</v>
      </c>
      <c r="B48" s="1" t="s">
        <v>37</v>
      </c>
      <c r="C48" s="1">
        <v>2016.0</v>
      </c>
      <c r="D48" s="1">
        <v>5.06</v>
      </c>
      <c r="E48" s="1">
        <v>60.0</v>
      </c>
      <c r="F48" s="4">
        <v>8.3</v>
      </c>
      <c r="G48" s="8">
        <v>4.9</v>
      </c>
      <c r="H48" s="1">
        <v>1.19</v>
      </c>
      <c r="I48" s="1">
        <v>25.37</v>
      </c>
      <c r="J48" s="1">
        <v>-0.53</v>
      </c>
      <c r="K48" s="1">
        <v>-4.21</v>
      </c>
      <c r="L48" s="1">
        <v>108.0</v>
      </c>
      <c r="M48" s="1">
        <v>3.72</v>
      </c>
      <c r="N48" s="1" t="s">
        <v>17</v>
      </c>
    </row>
    <row r="49">
      <c r="A49" s="1" t="s">
        <v>32</v>
      </c>
      <c r="B49" s="1" t="s">
        <v>37</v>
      </c>
      <c r="C49" s="1">
        <v>2017.0</v>
      </c>
      <c r="D49" s="1">
        <v>10.13</v>
      </c>
      <c r="E49" s="1">
        <v>60.0</v>
      </c>
      <c r="F49" s="4">
        <v>6.8</v>
      </c>
      <c r="G49" s="8">
        <v>3.3</v>
      </c>
      <c r="H49" s="1">
        <v>1.16</v>
      </c>
      <c r="I49" s="1">
        <v>25.43</v>
      </c>
      <c r="J49" s="1">
        <v>-0.69</v>
      </c>
      <c r="K49" s="1">
        <v>-4.1</v>
      </c>
      <c r="L49" s="1">
        <v>109.0</v>
      </c>
      <c r="M49" s="1">
        <v>5.06</v>
      </c>
      <c r="N49" s="1" t="s">
        <v>17</v>
      </c>
    </row>
    <row r="50">
      <c r="A50" s="1" t="s">
        <v>32</v>
      </c>
      <c r="B50" s="1" t="s">
        <v>37</v>
      </c>
      <c r="C50" s="1">
        <v>2018.0</v>
      </c>
      <c r="D50" s="1">
        <v>12.26</v>
      </c>
      <c r="E50" s="1">
        <v>59.0</v>
      </c>
      <c r="F50" s="4">
        <v>6.5</v>
      </c>
      <c r="G50" s="8">
        <v>3.9</v>
      </c>
      <c r="H50" s="1">
        <v>1.09</v>
      </c>
      <c r="I50" s="1">
        <v>25.44</v>
      </c>
      <c r="J50" s="1">
        <v>-0.44</v>
      </c>
      <c r="K50" s="1">
        <v>-2.59</v>
      </c>
      <c r="L50" s="1">
        <v>110.0</v>
      </c>
      <c r="M50" s="1">
        <v>10.13</v>
      </c>
      <c r="N50" s="1" t="s">
        <v>17</v>
      </c>
    </row>
    <row r="51">
      <c r="A51" s="1" t="s">
        <v>32</v>
      </c>
      <c r="B51" s="1" t="s">
        <v>37</v>
      </c>
      <c r="C51" s="1">
        <v>2019.0</v>
      </c>
      <c r="D51" s="1">
        <v>9.61</v>
      </c>
      <c r="E51" s="1">
        <v>59.0</v>
      </c>
      <c r="F51" s="4">
        <v>3.9</v>
      </c>
      <c r="G51" s="8">
        <v>3.7</v>
      </c>
      <c r="H51" s="1">
        <v>1.03</v>
      </c>
      <c r="I51" s="1">
        <v>25.47</v>
      </c>
      <c r="J51" s="1">
        <v>0.16</v>
      </c>
      <c r="K51" s="1">
        <v>1.06</v>
      </c>
      <c r="L51" s="1">
        <v>111.0</v>
      </c>
      <c r="M51" s="1">
        <v>12.26</v>
      </c>
      <c r="N51" s="1" t="s">
        <v>17</v>
      </c>
    </row>
    <row r="52">
      <c r="A52" s="1" t="s">
        <v>32</v>
      </c>
      <c r="B52" s="1" t="s">
        <v>37</v>
      </c>
      <c r="C52" s="1">
        <v>2020.0</v>
      </c>
      <c r="D52" s="1">
        <v>9.4</v>
      </c>
      <c r="E52" s="1">
        <v>60.0</v>
      </c>
      <c r="F52" s="4">
        <v>-5.8</v>
      </c>
      <c r="G52" s="8">
        <v>6.6</v>
      </c>
      <c r="H52" s="1">
        <v>0.96</v>
      </c>
      <c r="I52" s="1">
        <v>25.81</v>
      </c>
      <c r="J52" s="1">
        <v>0.12</v>
      </c>
      <c r="K52" s="1">
        <v>1.57</v>
      </c>
      <c r="L52" s="1">
        <v>112.0</v>
      </c>
      <c r="M52" s="1">
        <v>9.61</v>
      </c>
      <c r="N52" s="1" t="s">
        <v>17</v>
      </c>
    </row>
    <row r="53">
      <c r="A53" s="1" t="s">
        <v>32</v>
      </c>
      <c r="B53" s="1" t="s">
        <v>37</v>
      </c>
      <c r="C53" s="1">
        <v>2021.0</v>
      </c>
      <c r="D53" s="1">
        <v>8.87</v>
      </c>
      <c r="E53" s="1">
        <v>60.0</v>
      </c>
      <c r="F53" s="4">
        <v>9.7</v>
      </c>
      <c r="G53" s="8">
        <v>5.1</v>
      </c>
      <c r="H53" s="1">
        <v>0.8</v>
      </c>
      <c r="I53" s="1">
        <v>25.84</v>
      </c>
      <c r="J53" s="1">
        <v>0.61</v>
      </c>
      <c r="K53" s="1">
        <v>7.07</v>
      </c>
      <c r="L53" s="1">
        <v>113.0</v>
      </c>
      <c r="M53" s="1">
        <v>9.4</v>
      </c>
      <c r="N53" s="1" t="s">
        <v>17</v>
      </c>
    </row>
    <row r="54">
      <c r="A54" s="1" t="s">
        <v>32</v>
      </c>
      <c r="B54" s="1" t="s">
        <v>37</v>
      </c>
      <c r="C54" s="1">
        <v>2022.0</v>
      </c>
      <c r="D54" s="1">
        <v>6.61</v>
      </c>
      <c r="E54" s="1">
        <v>60.0</v>
      </c>
      <c r="F54" s="8">
        <v>7.6</v>
      </c>
      <c r="G54" s="8">
        <v>6.7</v>
      </c>
      <c r="H54" s="1">
        <v>0.68</v>
      </c>
      <c r="I54" s="1">
        <v>25.9</v>
      </c>
      <c r="J54" s="1">
        <v>1.02</v>
      </c>
      <c r="K54" s="1">
        <v>15.12</v>
      </c>
      <c r="L54" s="1">
        <v>114.0</v>
      </c>
      <c r="M54" s="1">
        <v>8.87</v>
      </c>
      <c r="N54" s="1" t="s">
        <v>17</v>
      </c>
    </row>
    <row r="55">
      <c r="A55" s="1" t="s">
        <v>32</v>
      </c>
      <c r="B55" s="1" t="s">
        <v>37</v>
      </c>
      <c r="C55" s="1">
        <v>2023.0</v>
      </c>
      <c r="D55" s="1">
        <v>3.79</v>
      </c>
      <c r="E55" s="1">
        <v>61.0</v>
      </c>
      <c r="F55" s="8">
        <v>9.2</v>
      </c>
      <c r="G55" s="8">
        <v>5.7</v>
      </c>
      <c r="H55" s="1">
        <v>0.81</v>
      </c>
      <c r="I55" s="1">
        <v>25.95</v>
      </c>
      <c r="J55" s="1">
        <v>1.16</v>
      </c>
      <c r="K55" s="1">
        <v>15.41</v>
      </c>
      <c r="L55" s="1">
        <v>115.0</v>
      </c>
      <c r="M55" s="1">
        <v>6.61</v>
      </c>
      <c r="N55" s="1" t="s">
        <v>17</v>
      </c>
    </row>
    <row r="56">
      <c r="A56" s="1" t="s">
        <v>32</v>
      </c>
      <c r="B56" s="1" t="s">
        <v>37</v>
      </c>
      <c r="C56" s="1">
        <v>2024.0</v>
      </c>
      <c r="D56" s="1">
        <v>2.92</v>
      </c>
      <c r="E56" s="1">
        <v>62.0</v>
      </c>
      <c r="F56" s="9">
        <v>6.5</v>
      </c>
      <c r="G56" s="9">
        <v>4.9</v>
      </c>
      <c r="H56" s="1">
        <v>0.89</v>
      </c>
      <c r="I56" s="1">
        <v>26.03</v>
      </c>
      <c r="J56" s="1">
        <v>1.16</v>
      </c>
      <c r="K56" s="1">
        <v>11.54</v>
      </c>
      <c r="L56" s="1">
        <v>116.0</v>
      </c>
      <c r="M56" s="1">
        <v>3.79</v>
      </c>
      <c r="N56" s="1" t="s">
        <v>17</v>
      </c>
    </row>
    <row r="57">
      <c r="A57" s="1" t="s">
        <v>32</v>
      </c>
      <c r="B57" s="1" t="s">
        <v>38</v>
      </c>
      <c r="C57" s="1">
        <v>2014.0</v>
      </c>
      <c r="D57" s="1">
        <v>2.79</v>
      </c>
      <c r="E57" s="1">
        <v>62.0</v>
      </c>
      <c r="F57" s="4">
        <v>7.4</v>
      </c>
      <c r="G57" s="8">
        <v>6.6</v>
      </c>
      <c r="H57" s="1">
        <v>1.25</v>
      </c>
      <c r="I57" s="1">
        <v>25.0</v>
      </c>
      <c r="J57" s="1">
        <v>0.51</v>
      </c>
      <c r="K57" s="1">
        <v>9.97</v>
      </c>
      <c r="L57" s="1">
        <v>108.0</v>
      </c>
      <c r="M57" s="1">
        <v>2.57</v>
      </c>
      <c r="N57" s="1" t="s">
        <v>17</v>
      </c>
    </row>
    <row r="58">
      <c r="A58" s="1" t="s">
        <v>32</v>
      </c>
      <c r="B58" s="1" t="s">
        <v>38</v>
      </c>
      <c r="C58" s="1">
        <v>2015.0</v>
      </c>
      <c r="D58" s="1">
        <v>2.68</v>
      </c>
      <c r="E58" s="1">
        <v>62.0</v>
      </c>
      <c r="F58" s="4">
        <v>8.0</v>
      </c>
      <c r="G58" s="8">
        <v>4.9</v>
      </c>
      <c r="H58" s="1">
        <v>1.19</v>
      </c>
      <c r="I58" s="1">
        <v>25.09</v>
      </c>
      <c r="J58" s="1">
        <v>0.25</v>
      </c>
      <c r="K58" s="1">
        <v>5.04</v>
      </c>
      <c r="L58" s="1">
        <v>109.0</v>
      </c>
      <c r="M58" s="1">
        <v>2.79</v>
      </c>
      <c r="N58" s="1" t="s">
        <v>17</v>
      </c>
    </row>
    <row r="59">
      <c r="A59" s="1" t="s">
        <v>32</v>
      </c>
      <c r="B59" s="1" t="s">
        <v>38</v>
      </c>
      <c r="C59" s="1">
        <v>2016.0</v>
      </c>
      <c r="D59" s="1">
        <v>3.89</v>
      </c>
      <c r="E59" s="1">
        <v>60.0</v>
      </c>
      <c r="F59" s="4">
        <v>8.3</v>
      </c>
      <c r="G59" s="8">
        <v>4.9</v>
      </c>
      <c r="H59" s="1">
        <v>1.19</v>
      </c>
      <c r="I59" s="1">
        <v>25.11</v>
      </c>
      <c r="J59" s="1">
        <v>-0.25</v>
      </c>
      <c r="K59" s="1">
        <v>-4.04</v>
      </c>
      <c r="L59" s="1">
        <v>110.0</v>
      </c>
      <c r="M59" s="1">
        <v>2.68</v>
      </c>
      <c r="N59" s="1" t="s">
        <v>17</v>
      </c>
    </row>
    <row r="60">
      <c r="A60" s="1" t="s">
        <v>32</v>
      </c>
      <c r="B60" s="1" t="s">
        <v>38</v>
      </c>
      <c r="C60" s="1">
        <v>2017.0</v>
      </c>
      <c r="D60" s="1">
        <v>10.56</v>
      </c>
      <c r="E60" s="1">
        <v>60.0</v>
      </c>
      <c r="F60" s="4">
        <v>6.8</v>
      </c>
      <c r="G60" s="8">
        <v>3.3</v>
      </c>
      <c r="H60" s="1">
        <v>1.16</v>
      </c>
      <c r="I60" s="1">
        <v>25.21</v>
      </c>
      <c r="J60" s="1">
        <v>-1.02</v>
      </c>
      <c r="K60" s="1">
        <v>-13.83</v>
      </c>
      <c r="L60" s="1">
        <v>111.0</v>
      </c>
      <c r="M60" s="1">
        <v>3.89</v>
      </c>
      <c r="N60" s="1" t="s">
        <v>17</v>
      </c>
    </row>
    <row r="61">
      <c r="A61" s="1" t="s">
        <v>32</v>
      </c>
      <c r="B61" s="1" t="s">
        <v>38</v>
      </c>
      <c r="C61" s="1">
        <v>2018.0</v>
      </c>
      <c r="D61" s="1">
        <v>11.84</v>
      </c>
      <c r="E61" s="1">
        <v>59.0</v>
      </c>
      <c r="F61" s="4">
        <v>6.5</v>
      </c>
      <c r="G61" s="8">
        <v>3.9</v>
      </c>
      <c r="H61" s="1">
        <v>1.09</v>
      </c>
      <c r="I61" s="1">
        <v>25.2</v>
      </c>
      <c r="J61" s="1">
        <v>-0.72</v>
      </c>
      <c r="K61" s="1">
        <v>-9.26</v>
      </c>
      <c r="L61" s="1">
        <v>112.0</v>
      </c>
      <c r="M61" s="1">
        <v>10.56</v>
      </c>
      <c r="N61" s="1" t="s">
        <v>17</v>
      </c>
    </row>
    <row r="62">
      <c r="A62" s="1" t="s">
        <v>32</v>
      </c>
      <c r="B62" s="1" t="s">
        <v>38</v>
      </c>
      <c r="C62" s="1">
        <v>2019.0</v>
      </c>
      <c r="D62" s="1">
        <v>8.83</v>
      </c>
      <c r="E62" s="1">
        <v>59.0</v>
      </c>
      <c r="F62" s="4">
        <v>3.9</v>
      </c>
      <c r="G62" s="8">
        <v>3.7</v>
      </c>
      <c r="H62" s="1">
        <v>1.03</v>
      </c>
      <c r="I62" s="1">
        <v>25.27</v>
      </c>
      <c r="J62" s="1">
        <v>0.05</v>
      </c>
      <c r="K62" s="1">
        <v>0.71</v>
      </c>
      <c r="L62" s="1">
        <v>113.0</v>
      </c>
      <c r="M62" s="1">
        <v>11.84</v>
      </c>
      <c r="N62" s="1" t="s">
        <v>17</v>
      </c>
    </row>
    <row r="63">
      <c r="A63" s="1" t="s">
        <v>32</v>
      </c>
      <c r="B63" s="1" t="s">
        <v>38</v>
      </c>
      <c r="C63" s="1">
        <v>2020.0</v>
      </c>
      <c r="D63" s="1">
        <v>8.21</v>
      </c>
      <c r="E63" s="1">
        <v>60.0</v>
      </c>
      <c r="F63" s="4">
        <v>-5.8</v>
      </c>
      <c r="G63" s="8">
        <v>6.6</v>
      </c>
      <c r="H63" s="1">
        <v>0.96</v>
      </c>
      <c r="I63" s="1">
        <v>25.63</v>
      </c>
      <c r="J63" s="1">
        <v>0.28</v>
      </c>
      <c r="K63" s="1">
        <v>4.36</v>
      </c>
      <c r="L63" s="1">
        <v>114.0</v>
      </c>
      <c r="M63" s="1">
        <v>8.83</v>
      </c>
      <c r="N63" s="1" t="s">
        <v>17</v>
      </c>
    </row>
    <row r="64">
      <c r="A64" s="1" t="s">
        <v>32</v>
      </c>
      <c r="B64" s="1" t="s">
        <v>38</v>
      </c>
      <c r="C64" s="1">
        <v>2021.0</v>
      </c>
      <c r="D64" s="1">
        <v>8.42</v>
      </c>
      <c r="E64" s="1">
        <v>60.0</v>
      </c>
      <c r="F64" s="4">
        <v>9.7</v>
      </c>
      <c r="G64" s="8">
        <v>5.1</v>
      </c>
      <c r="H64" s="1">
        <v>0.8</v>
      </c>
      <c r="I64" s="1">
        <v>25.82</v>
      </c>
      <c r="J64" s="1">
        <v>0.48</v>
      </c>
      <c r="K64" s="1">
        <v>9.25</v>
      </c>
      <c r="L64" s="1">
        <v>115.0</v>
      </c>
      <c r="M64" s="1">
        <v>8.21</v>
      </c>
      <c r="N64" s="1" t="s">
        <v>17</v>
      </c>
    </row>
    <row r="65">
      <c r="A65" s="1" t="s">
        <v>32</v>
      </c>
      <c r="B65" s="1" t="s">
        <v>38</v>
      </c>
      <c r="C65" s="1">
        <v>2022.0</v>
      </c>
      <c r="D65" s="1">
        <v>7.51</v>
      </c>
      <c r="E65" s="1">
        <v>60.0</v>
      </c>
      <c r="F65" s="8">
        <v>7.6</v>
      </c>
      <c r="G65" s="8">
        <v>6.7</v>
      </c>
      <c r="H65" s="1">
        <v>0.68</v>
      </c>
      <c r="I65" s="1">
        <v>25.83</v>
      </c>
      <c r="J65" s="1">
        <v>0.82</v>
      </c>
      <c r="K65" s="1">
        <v>15.62</v>
      </c>
      <c r="L65" s="1">
        <v>116.0</v>
      </c>
      <c r="M65" s="1">
        <v>8.42</v>
      </c>
      <c r="N65" s="1" t="s">
        <v>17</v>
      </c>
    </row>
    <row r="66">
      <c r="A66" s="1" t="s">
        <v>32</v>
      </c>
      <c r="B66" s="1" t="s">
        <v>38</v>
      </c>
      <c r="C66" s="1">
        <v>2023.0</v>
      </c>
      <c r="D66" s="1">
        <v>4.23</v>
      </c>
      <c r="E66" s="1">
        <v>61.0</v>
      </c>
      <c r="F66" s="8">
        <v>9.2</v>
      </c>
      <c r="G66" s="8">
        <v>5.7</v>
      </c>
      <c r="H66" s="1">
        <v>0.81</v>
      </c>
      <c r="I66" s="1">
        <v>25.85</v>
      </c>
      <c r="J66" s="1">
        <v>1.01</v>
      </c>
      <c r="K66" s="1">
        <v>16.79</v>
      </c>
      <c r="L66" s="1">
        <v>117.0</v>
      </c>
      <c r="M66" s="1">
        <v>7.51</v>
      </c>
      <c r="N66" s="1" t="s">
        <v>17</v>
      </c>
    </row>
    <row r="67">
      <c r="A67" s="1" t="s">
        <v>32</v>
      </c>
      <c r="B67" s="1" t="s">
        <v>38</v>
      </c>
      <c r="C67" s="1">
        <v>2024.0</v>
      </c>
      <c r="D67" s="1">
        <v>2.94</v>
      </c>
      <c r="E67" s="1">
        <v>62.0</v>
      </c>
      <c r="F67" s="9">
        <v>6.5</v>
      </c>
      <c r="G67" s="9">
        <v>4.9</v>
      </c>
      <c r="H67" s="1">
        <v>0.89</v>
      </c>
      <c r="I67" s="1">
        <v>25.96</v>
      </c>
      <c r="J67" s="1">
        <v>1.06</v>
      </c>
      <c r="K67" s="1">
        <v>15.04</v>
      </c>
      <c r="L67" s="1">
        <v>118.0</v>
      </c>
      <c r="M67" s="1">
        <v>4.23</v>
      </c>
      <c r="N67" s="1" t="s">
        <v>17</v>
      </c>
    </row>
    <row r="68">
      <c r="A68" s="1" t="s">
        <v>32</v>
      </c>
      <c r="B68" s="1" t="s">
        <v>39</v>
      </c>
      <c r="C68" s="1">
        <v>2014.0</v>
      </c>
      <c r="D68" s="1">
        <v>1.18</v>
      </c>
      <c r="E68" s="1">
        <v>62.0</v>
      </c>
      <c r="F68" s="4">
        <v>7.4</v>
      </c>
      <c r="G68" s="8">
        <v>6.6</v>
      </c>
      <c r="H68" s="1">
        <v>1.25</v>
      </c>
      <c r="I68" s="1">
        <v>24.89</v>
      </c>
      <c r="J68" s="1">
        <v>1.72</v>
      </c>
      <c r="K68" s="1">
        <v>18.08</v>
      </c>
      <c r="L68" s="1">
        <v>21.0</v>
      </c>
      <c r="M68" s="1">
        <v>1.06</v>
      </c>
      <c r="N68" s="1" t="s">
        <v>19</v>
      </c>
    </row>
    <row r="69">
      <c r="A69" s="1" t="s">
        <v>32</v>
      </c>
      <c r="B69" s="1" t="s">
        <v>39</v>
      </c>
      <c r="C69" s="1">
        <v>2015.0</v>
      </c>
      <c r="D69" s="1">
        <v>1.34</v>
      </c>
      <c r="E69" s="1">
        <v>62.0</v>
      </c>
      <c r="F69" s="4">
        <v>8.0</v>
      </c>
      <c r="G69" s="8">
        <v>4.9</v>
      </c>
      <c r="H69" s="1">
        <v>1.19</v>
      </c>
      <c r="I69" s="1">
        <v>25.05</v>
      </c>
      <c r="J69" s="1">
        <v>1.74</v>
      </c>
      <c r="K69" s="1">
        <v>18.27</v>
      </c>
      <c r="L69" s="1">
        <v>22.0</v>
      </c>
      <c r="M69" s="1">
        <v>1.18</v>
      </c>
      <c r="N69" s="1" t="s">
        <v>19</v>
      </c>
    </row>
    <row r="70">
      <c r="A70" s="1" t="s">
        <v>32</v>
      </c>
      <c r="B70" s="1" t="s">
        <v>39</v>
      </c>
      <c r="C70" s="1">
        <v>2016.0</v>
      </c>
      <c r="D70" s="1">
        <v>1.67</v>
      </c>
      <c r="E70" s="1">
        <v>60.0</v>
      </c>
      <c r="F70" s="4">
        <v>8.3</v>
      </c>
      <c r="G70" s="8">
        <v>4.9</v>
      </c>
      <c r="H70" s="1">
        <v>1.19</v>
      </c>
      <c r="I70" s="1">
        <v>25.14</v>
      </c>
      <c r="J70" s="1">
        <v>1.64</v>
      </c>
      <c r="K70" s="1">
        <v>16.91</v>
      </c>
      <c r="L70" s="1">
        <v>23.0</v>
      </c>
      <c r="M70" s="1">
        <v>1.34</v>
      </c>
      <c r="N70" s="1" t="s">
        <v>19</v>
      </c>
    </row>
    <row r="71">
      <c r="A71" s="1" t="s">
        <v>32</v>
      </c>
      <c r="B71" s="1" t="s">
        <v>39</v>
      </c>
      <c r="C71" s="1">
        <v>2017.0</v>
      </c>
      <c r="D71" s="1">
        <v>5.04</v>
      </c>
      <c r="E71" s="1">
        <v>60.0</v>
      </c>
      <c r="F71" s="4">
        <v>6.8</v>
      </c>
      <c r="G71" s="8">
        <v>3.3</v>
      </c>
      <c r="H71" s="1">
        <v>1.16</v>
      </c>
      <c r="I71" s="1">
        <v>25.27</v>
      </c>
      <c r="J71" s="1">
        <v>0.39</v>
      </c>
      <c r="K71" s="1">
        <v>4.3</v>
      </c>
      <c r="L71" s="1">
        <v>24.0</v>
      </c>
      <c r="M71" s="1">
        <v>1.67</v>
      </c>
      <c r="N71" s="1" t="s">
        <v>19</v>
      </c>
    </row>
    <row r="72">
      <c r="A72" s="1" t="s">
        <v>32</v>
      </c>
      <c r="B72" s="1" t="s">
        <v>39</v>
      </c>
      <c r="C72" s="1">
        <v>2018.0</v>
      </c>
      <c r="D72" s="1">
        <v>6.77</v>
      </c>
      <c r="E72" s="1">
        <v>59.0</v>
      </c>
      <c r="F72" s="4">
        <v>6.5</v>
      </c>
      <c r="G72" s="8">
        <v>3.9</v>
      </c>
      <c r="H72" s="1">
        <v>1.09</v>
      </c>
      <c r="I72" s="1">
        <v>25.38</v>
      </c>
      <c r="J72" s="1">
        <v>0.08</v>
      </c>
      <c r="K72" s="1">
        <v>0.9</v>
      </c>
      <c r="L72" s="1">
        <v>25.0</v>
      </c>
      <c r="M72" s="1">
        <v>5.04</v>
      </c>
      <c r="N72" s="1" t="s">
        <v>19</v>
      </c>
    </row>
    <row r="73">
      <c r="A73" s="1" t="s">
        <v>32</v>
      </c>
      <c r="B73" s="1" t="s">
        <v>39</v>
      </c>
      <c r="C73" s="1">
        <v>2019.0</v>
      </c>
      <c r="D73" s="1">
        <v>5.25</v>
      </c>
      <c r="E73" s="1">
        <v>59.0</v>
      </c>
      <c r="F73" s="4">
        <v>3.9</v>
      </c>
      <c r="G73" s="8">
        <v>3.7</v>
      </c>
      <c r="H73" s="1">
        <v>1.03</v>
      </c>
      <c r="I73" s="1">
        <v>25.47</v>
      </c>
      <c r="J73" s="1">
        <v>0.67</v>
      </c>
      <c r="K73" s="1">
        <v>7.7</v>
      </c>
      <c r="L73" s="1">
        <v>26.0</v>
      </c>
      <c r="M73" s="1">
        <v>6.77</v>
      </c>
      <c r="N73" s="1" t="s">
        <v>19</v>
      </c>
    </row>
    <row r="74">
      <c r="A74" s="1" t="s">
        <v>32</v>
      </c>
      <c r="B74" s="1" t="s">
        <v>39</v>
      </c>
      <c r="C74" s="1">
        <v>2020.0</v>
      </c>
      <c r="D74" s="1">
        <v>4.86</v>
      </c>
      <c r="E74" s="1">
        <v>60.0</v>
      </c>
      <c r="F74" s="4">
        <v>-5.8</v>
      </c>
      <c r="G74" s="8">
        <v>6.6</v>
      </c>
      <c r="H74" s="1">
        <v>0.96</v>
      </c>
      <c r="I74" s="1">
        <v>25.55</v>
      </c>
      <c r="J74" s="1">
        <v>0.75</v>
      </c>
      <c r="K74" s="1">
        <v>8.3</v>
      </c>
      <c r="L74" s="1">
        <v>27.0</v>
      </c>
      <c r="M74" s="1">
        <v>5.25</v>
      </c>
      <c r="N74" s="1" t="s">
        <v>19</v>
      </c>
    </row>
    <row r="75">
      <c r="A75" s="1" t="s">
        <v>32</v>
      </c>
      <c r="B75" s="1" t="s">
        <v>39</v>
      </c>
      <c r="C75" s="1">
        <v>2021.0</v>
      </c>
      <c r="D75" s="1">
        <v>3.7</v>
      </c>
      <c r="E75" s="1">
        <v>60.0</v>
      </c>
      <c r="F75" s="4">
        <v>9.7</v>
      </c>
      <c r="G75" s="8">
        <v>5.1</v>
      </c>
      <c r="H75" s="1">
        <v>0.8</v>
      </c>
      <c r="I75" s="1">
        <v>25.66</v>
      </c>
      <c r="J75" s="1">
        <v>0.85</v>
      </c>
      <c r="K75" s="1">
        <v>9.8</v>
      </c>
      <c r="L75" s="1">
        <v>28.0</v>
      </c>
      <c r="M75" s="1">
        <v>4.86</v>
      </c>
      <c r="N75" s="1" t="s">
        <v>19</v>
      </c>
    </row>
    <row r="76">
      <c r="A76" s="1" t="s">
        <v>32</v>
      </c>
      <c r="B76" s="1" t="s">
        <v>39</v>
      </c>
      <c r="C76" s="1">
        <v>2022.0</v>
      </c>
      <c r="D76" s="1">
        <v>2.82</v>
      </c>
      <c r="E76" s="1">
        <v>60.0</v>
      </c>
      <c r="F76" s="8">
        <v>7.6</v>
      </c>
      <c r="G76" s="8">
        <v>6.7</v>
      </c>
      <c r="H76" s="1">
        <v>0.68</v>
      </c>
      <c r="I76" s="1">
        <v>25.78</v>
      </c>
      <c r="J76" s="1">
        <v>1.29</v>
      </c>
      <c r="K76" s="1">
        <v>14.32</v>
      </c>
      <c r="L76" s="1">
        <v>29.0</v>
      </c>
      <c r="M76" s="1">
        <v>3.7</v>
      </c>
      <c r="N76" s="1" t="s">
        <v>19</v>
      </c>
    </row>
    <row r="77">
      <c r="A77" s="1" t="s">
        <v>32</v>
      </c>
      <c r="B77" s="1" t="s">
        <v>39</v>
      </c>
      <c r="C77" s="1">
        <v>2023.0</v>
      </c>
      <c r="D77" s="1">
        <v>1.43</v>
      </c>
      <c r="E77" s="1">
        <v>61.0</v>
      </c>
      <c r="F77" s="8">
        <v>9.2</v>
      </c>
      <c r="G77" s="8">
        <v>5.7</v>
      </c>
      <c r="H77" s="1">
        <v>0.81</v>
      </c>
      <c r="I77" s="1">
        <v>25.82</v>
      </c>
      <c r="J77" s="1">
        <v>1.85</v>
      </c>
      <c r="K77" s="1">
        <v>18.29</v>
      </c>
      <c r="L77" s="1">
        <v>30.0</v>
      </c>
      <c r="M77" s="1">
        <v>2.82</v>
      </c>
      <c r="N77" s="1" t="s">
        <v>19</v>
      </c>
    </row>
    <row r="78">
      <c r="A78" s="1" t="s">
        <v>32</v>
      </c>
      <c r="B78" s="1" t="s">
        <v>39</v>
      </c>
      <c r="C78" s="1">
        <v>2024.0</v>
      </c>
      <c r="D78" s="1">
        <v>1.28</v>
      </c>
      <c r="E78" s="1">
        <v>62.0</v>
      </c>
      <c r="F78" s="9">
        <v>6.5</v>
      </c>
      <c r="G78" s="9">
        <v>4.9</v>
      </c>
      <c r="H78" s="1">
        <v>0.89</v>
      </c>
      <c r="I78" s="1">
        <v>25.94</v>
      </c>
      <c r="J78" s="1">
        <v>1.77</v>
      </c>
      <c r="K78" s="1">
        <v>16.46</v>
      </c>
      <c r="L78" s="1">
        <v>31.0</v>
      </c>
      <c r="M78" s="1">
        <v>1.43</v>
      </c>
      <c r="N78" s="1" t="s">
        <v>19</v>
      </c>
    </row>
    <row r="79">
      <c r="A79" s="1" t="s">
        <v>32</v>
      </c>
      <c r="B79" s="1" t="s">
        <v>40</v>
      </c>
      <c r="C79" s="1">
        <v>2014.0</v>
      </c>
      <c r="D79" s="4">
        <v>4.08</v>
      </c>
      <c r="E79" s="1">
        <v>62.0</v>
      </c>
      <c r="F79" s="4">
        <v>7.4</v>
      </c>
      <c r="G79" s="8">
        <v>6.6</v>
      </c>
      <c r="H79" s="1">
        <v>1.25</v>
      </c>
      <c r="I79" s="1">
        <v>18.96</v>
      </c>
      <c r="J79" s="1">
        <v>0.86</v>
      </c>
      <c r="K79" s="1">
        <v>14.09</v>
      </c>
      <c r="L79" s="1">
        <v>95.0</v>
      </c>
      <c r="M79" s="1">
        <v>3.4</v>
      </c>
      <c r="N79" s="1" t="s">
        <v>17</v>
      </c>
    </row>
    <row r="80">
      <c r="A80" s="1" t="s">
        <v>32</v>
      </c>
      <c r="B80" s="1" t="s">
        <v>40</v>
      </c>
      <c r="C80" s="1">
        <v>2015.0</v>
      </c>
      <c r="D80" s="4">
        <v>4.96</v>
      </c>
      <c r="E80" s="1">
        <v>62.0</v>
      </c>
      <c r="F80" s="4">
        <v>8.0</v>
      </c>
      <c r="G80" s="8">
        <v>4.9</v>
      </c>
      <c r="H80" s="1">
        <v>1.19</v>
      </c>
      <c r="I80" s="1">
        <v>18.87</v>
      </c>
      <c r="J80" s="1">
        <v>0.77</v>
      </c>
      <c r="K80" s="1">
        <v>11.4</v>
      </c>
      <c r="L80" s="1">
        <v>96.0</v>
      </c>
      <c r="M80" s="4">
        <v>4.08</v>
      </c>
      <c r="N80" s="1" t="s">
        <v>17</v>
      </c>
    </row>
    <row r="81">
      <c r="A81" s="1" t="s">
        <v>32</v>
      </c>
      <c r="B81" s="1" t="s">
        <v>40</v>
      </c>
      <c r="C81" s="1">
        <v>2016.0</v>
      </c>
      <c r="D81" s="4">
        <v>8.7</v>
      </c>
      <c r="E81" s="1">
        <v>60.0</v>
      </c>
      <c r="F81" s="4">
        <v>8.3</v>
      </c>
      <c r="G81" s="8">
        <v>4.9</v>
      </c>
      <c r="H81" s="1">
        <v>1.19</v>
      </c>
      <c r="I81" s="1">
        <v>18.98</v>
      </c>
      <c r="J81" s="1">
        <v>0.41</v>
      </c>
      <c r="K81" s="1">
        <v>5.09</v>
      </c>
      <c r="L81" s="1">
        <v>97.0</v>
      </c>
      <c r="M81" s="4">
        <v>4.96</v>
      </c>
      <c r="N81" s="1" t="s">
        <v>17</v>
      </c>
    </row>
    <row r="82">
      <c r="A82" s="1" t="s">
        <v>32</v>
      </c>
      <c r="B82" s="1" t="s">
        <v>40</v>
      </c>
      <c r="C82" s="1">
        <v>2017.0</v>
      </c>
      <c r="D82" s="4">
        <v>11.77</v>
      </c>
      <c r="E82" s="1">
        <v>60.0</v>
      </c>
      <c r="F82" s="4">
        <v>6.8</v>
      </c>
      <c r="G82" s="8">
        <v>3.3</v>
      </c>
      <c r="H82" s="1">
        <v>1.16</v>
      </c>
      <c r="I82" s="1">
        <v>19.07</v>
      </c>
      <c r="J82" s="1">
        <v>0.16</v>
      </c>
      <c r="K82" s="1">
        <v>1.84</v>
      </c>
      <c r="L82" s="1">
        <v>98.0</v>
      </c>
      <c r="M82" s="4">
        <v>8.7</v>
      </c>
      <c r="N82" s="1" t="s">
        <v>17</v>
      </c>
    </row>
    <row r="83">
      <c r="A83" s="1" t="s">
        <v>32</v>
      </c>
      <c r="B83" s="1" t="s">
        <v>40</v>
      </c>
      <c r="C83" s="1">
        <v>2018.0</v>
      </c>
      <c r="D83" s="4">
        <v>15.73</v>
      </c>
      <c r="E83" s="1">
        <v>59.0</v>
      </c>
      <c r="F83" s="4">
        <v>6.5</v>
      </c>
      <c r="G83" s="8">
        <v>3.9</v>
      </c>
      <c r="H83" s="1">
        <v>1.09</v>
      </c>
      <c r="I83" s="1">
        <v>19.12</v>
      </c>
      <c r="J83" s="1">
        <v>-1.08</v>
      </c>
      <c r="K83" s="1">
        <v>-13.82</v>
      </c>
      <c r="L83" s="1">
        <v>99.0</v>
      </c>
      <c r="M83" s="4">
        <v>11.77</v>
      </c>
      <c r="N83" s="1" t="s">
        <v>17</v>
      </c>
    </row>
    <row r="84">
      <c r="A84" s="1" t="s">
        <v>32</v>
      </c>
      <c r="B84" s="1" t="s">
        <v>40</v>
      </c>
      <c r="C84" s="1">
        <v>2019.0</v>
      </c>
      <c r="D84" s="4">
        <v>14.98</v>
      </c>
      <c r="E84" s="1">
        <v>59.0</v>
      </c>
      <c r="F84" s="4">
        <v>3.9</v>
      </c>
      <c r="G84" s="8">
        <v>3.7</v>
      </c>
      <c r="H84" s="1">
        <v>1.03</v>
      </c>
      <c r="I84" s="1">
        <v>19.09</v>
      </c>
      <c r="J84" s="1">
        <v>-1.31</v>
      </c>
      <c r="K84" s="1">
        <v>-13.56</v>
      </c>
      <c r="L84" s="1">
        <v>100.0</v>
      </c>
      <c r="M84" s="4">
        <v>15.73</v>
      </c>
      <c r="N84" s="1" t="s">
        <v>17</v>
      </c>
    </row>
    <row r="85">
      <c r="A85" s="1" t="s">
        <v>32</v>
      </c>
      <c r="B85" s="1" t="s">
        <v>40</v>
      </c>
      <c r="C85" s="1">
        <v>2020.0</v>
      </c>
      <c r="D85" s="4">
        <v>14.15</v>
      </c>
      <c r="E85" s="1">
        <v>60.0</v>
      </c>
      <c r="F85" s="4">
        <v>-5.8</v>
      </c>
      <c r="G85" s="8">
        <v>6.6</v>
      </c>
      <c r="H85" s="1">
        <v>0.96</v>
      </c>
      <c r="I85" s="1">
        <v>19.77</v>
      </c>
      <c r="J85" s="1">
        <v>-0.65</v>
      </c>
      <c r="K85" s="1">
        <v>-5.59</v>
      </c>
      <c r="L85" s="1">
        <v>101.0</v>
      </c>
      <c r="M85" s="4">
        <v>14.98</v>
      </c>
      <c r="N85" s="1" t="s">
        <v>17</v>
      </c>
    </row>
    <row r="86">
      <c r="A86" s="1" t="s">
        <v>32</v>
      </c>
      <c r="B86" s="1" t="s">
        <v>40</v>
      </c>
      <c r="C86" s="1">
        <v>2021.0</v>
      </c>
      <c r="D86" s="4">
        <v>13.74</v>
      </c>
      <c r="E86" s="1">
        <v>60.0</v>
      </c>
      <c r="F86" s="4">
        <v>9.7</v>
      </c>
      <c r="G86" s="8">
        <v>5.1</v>
      </c>
      <c r="H86" s="1">
        <v>0.8</v>
      </c>
      <c r="I86" s="1">
        <v>19.91</v>
      </c>
      <c r="J86" s="1">
        <v>0.27</v>
      </c>
      <c r="K86" s="1">
        <v>4.29</v>
      </c>
      <c r="L86" s="1">
        <v>102.0</v>
      </c>
      <c r="M86" s="4">
        <v>14.15</v>
      </c>
      <c r="N86" s="1" t="s">
        <v>17</v>
      </c>
    </row>
    <row r="87">
      <c r="A87" s="1" t="s">
        <v>32</v>
      </c>
      <c r="B87" s="1" t="s">
        <v>40</v>
      </c>
      <c r="C87" s="1">
        <v>2022.0</v>
      </c>
      <c r="D87" s="4">
        <v>11.11</v>
      </c>
      <c r="E87" s="1">
        <v>60.0</v>
      </c>
      <c r="F87" s="8">
        <v>7.6</v>
      </c>
      <c r="G87" s="8">
        <v>6.7</v>
      </c>
      <c r="H87" s="1">
        <v>0.68</v>
      </c>
      <c r="I87" s="1">
        <v>19.94</v>
      </c>
      <c r="J87" s="1">
        <v>0.44</v>
      </c>
      <c r="K87" s="1">
        <v>7.09</v>
      </c>
      <c r="L87" s="1">
        <v>103.0</v>
      </c>
      <c r="M87" s="4">
        <v>13.74</v>
      </c>
      <c r="N87" s="1" t="s">
        <v>17</v>
      </c>
    </row>
    <row r="88">
      <c r="A88" s="1" t="s">
        <v>32</v>
      </c>
      <c r="B88" s="1" t="s">
        <v>40</v>
      </c>
      <c r="C88" s="1">
        <v>2023.0</v>
      </c>
      <c r="D88" s="4">
        <v>7.53</v>
      </c>
      <c r="E88" s="1">
        <v>61.0</v>
      </c>
      <c r="F88" s="8">
        <v>9.2</v>
      </c>
      <c r="G88" s="8">
        <v>5.7</v>
      </c>
      <c r="H88" s="1">
        <v>0.81</v>
      </c>
      <c r="I88" s="1">
        <v>19.95</v>
      </c>
      <c r="J88" s="1">
        <v>0.65</v>
      </c>
      <c r="K88" s="1">
        <v>11.68</v>
      </c>
      <c r="L88" s="1">
        <v>104.0</v>
      </c>
      <c r="M88" s="4">
        <v>11.11</v>
      </c>
      <c r="N88" s="1" t="s">
        <v>17</v>
      </c>
    </row>
    <row r="89">
      <c r="A89" s="1" t="s">
        <v>32</v>
      </c>
      <c r="B89" s="1" t="s">
        <v>40</v>
      </c>
      <c r="C89" s="1">
        <v>2024.0</v>
      </c>
      <c r="D89" s="4">
        <v>4.76</v>
      </c>
      <c r="E89" s="1">
        <v>62.0</v>
      </c>
      <c r="F89" s="9">
        <v>6.5</v>
      </c>
      <c r="G89" s="9">
        <v>4.9</v>
      </c>
      <c r="H89" s="1">
        <v>0.89</v>
      </c>
      <c r="I89" s="1">
        <v>20.02</v>
      </c>
      <c r="J89" s="1">
        <v>1.19</v>
      </c>
      <c r="K89" s="1">
        <v>15.92</v>
      </c>
      <c r="L89" s="1">
        <v>105.0</v>
      </c>
      <c r="M89" s="4">
        <v>7.53</v>
      </c>
      <c r="N89" s="1" t="s">
        <v>17</v>
      </c>
    </row>
    <row r="90">
      <c r="A90" s="1" t="s">
        <v>32</v>
      </c>
      <c r="B90" s="1" t="s">
        <v>41</v>
      </c>
      <c r="C90" s="1">
        <v>2014.0</v>
      </c>
      <c r="D90" s="1">
        <v>2.95</v>
      </c>
      <c r="E90" s="1">
        <v>62.0</v>
      </c>
      <c r="F90" s="4">
        <v>7.4</v>
      </c>
      <c r="G90" s="8">
        <v>6.6</v>
      </c>
      <c r="H90" s="1">
        <v>1.25</v>
      </c>
      <c r="I90" s="1">
        <v>11.187</v>
      </c>
      <c r="J90" s="1">
        <v>0.3</v>
      </c>
      <c r="K90" s="1">
        <v>10.6</v>
      </c>
      <c r="L90" s="1">
        <v>108.0</v>
      </c>
      <c r="M90" s="1">
        <v>2.99</v>
      </c>
      <c r="N90" s="1" t="s">
        <v>17</v>
      </c>
    </row>
    <row r="91">
      <c r="A91" s="1" t="s">
        <v>32</v>
      </c>
      <c r="B91" s="1" t="s">
        <v>41</v>
      </c>
      <c r="C91" s="1">
        <v>2015.0</v>
      </c>
      <c r="D91" s="1">
        <v>3.36</v>
      </c>
      <c r="E91" s="1">
        <v>62.0</v>
      </c>
      <c r="F91" s="4">
        <v>8.0</v>
      </c>
      <c r="G91" s="8">
        <v>4.9</v>
      </c>
      <c r="H91" s="1">
        <v>1.19</v>
      </c>
      <c r="I91" s="1">
        <v>11.263</v>
      </c>
      <c r="J91" s="1">
        <v>0.34</v>
      </c>
      <c r="K91" s="1">
        <v>8.5</v>
      </c>
      <c r="L91" s="1">
        <v>109.0</v>
      </c>
      <c r="M91" s="1">
        <v>2.95</v>
      </c>
      <c r="N91" s="1" t="s">
        <v>17</v>
      </c>
    </row>
    <row r="92">
      <c r="A92" s="1" t="s">
        <v>32</v>
      </c>
      <c r="B92" s="1" t="s">
        <v>41</v>
      </c>
      <c r="C92" s="1">
        <v>2016.0</v>
      </c>
      <c r="D92" s="1">
        <v>13.07</v>
      </c>
      <c r="E92" s="1">
        <v>60.0</v>
      </c>
      <c r="F92" s="4">
        <v>8.3</v>
      </c>
      <c r="G92" s="8">
        <v>4.9</v>
      </c>
      <c r="H92" s="1">
        <v>1.19</v>
      </c>
      <c r="I92" s="1">
        <v>11.268</v>
      </c>
      <c r="J92" s="1">
        <v>0.12</v>
      </c>
      <c r="K92" s="1">
        <v>3.2</v>
      </c>
      <c r="L92" s="1">
        <v>110.0</v>
      </c>
      <c r="M92" s="1">
        <v>3.36</v>
      </c>
      <c r="N92" s="1" t="s">
        <v>17</v>
      </c>
    </row>
    <row r="93">
      <c r="A93" s="1" t="s">
        <v>32</v>
      </c>
      <c r="B93" s="1" t="s">
        <v>41</v>
      </c>
      <c r="C93" s="1">
        <v>2017.0</v>
      </c>
      <c r="D93" s="1">
        <v>13.38</v>
      </c>
      <c r="E93" s="1">
        <v>60.0</v>
      </c>
      <c r="F93" s="4">
        <v>6.8</v>
      </c>
      <c r="G93" s="8">
        <v>3.3</v>
      </c>
      <c r="H93" s="1">
        <v>1.16</v>
      </c>
      <c r="I93" s="1">
        <v>11.324</v>
      </c>
      <c r="J93" s="1">
        <v>-1.2</v>
      </c>
      <c r="K93" s="1">
        <v>-25.5</v>
      </c>
      <c r="L93" s="1">
        <v>111.0</v>
      </c>
      <c r="M93" s="1">
        <v>13.07</v>
      </c>
      <c r="N93" s="1" t="s">
        <v>17</v>
      </c>
    </row>
    <row r="94">
      <c r="A94" s="1" t="s">
        <v>32</v>
      </c>
      <c r="B94" s="1" t="s">
        <v>41</v>
      </c>
      <c r="C94" s="1">
        <v>2018.0</v>
      </c>
      <c r="D94" s="1">
        <v>16.58</v>
      </c>
      <c r="E94" s="1">
        <v>59.0</v>
      </c>
      <c r="F94" s="4">
        <v>6.5</v>
      </c>
      <c r="G94" s="8">
        <v>3.9</v>
      </c>
      <c r="H94" s="1">
        <v>1.09</v>
      </c>
      <c r="I94" s="1">
        <v>11.424</v>
      </c>
      <c r="J94" s="1">
        <v>-2.29</v>
      </c>
      <c r="K94" s="1">
        <v>-37.0</v>
      </c>
      <c r="L94" s="1">
        <v>112.0</v>
      </c>
      <c r="M94" s="1">
        <v>13.38</v>
      </c>
      <c r="N94" s="1" t="s">
        <v>17</v>
      </c>
    </row>
    <row r="95">
      <c r="A95" s="1" t="s">
        <v>32</v>
      </c>
      <c r="B95" s="1" t="s">
        <v>41</v>
      </c>
      <c r="C95" s="1">
        <v>2019.0</v>
      </c>
      <c r="D95" s="1">
        <v>15.84</v>
      </c>
      <c r="E95" s="1">
        <v>59.0</v>
      </c>
      <c r="F95" s="4">
        <v>3.9</v>
      </c>
      <c r="G95" s="8">
        <v>3.7</v>
      </c>
      <c r="H95" s="1">
        <v>1.03</v>
      </c>
      <c r="I95" s="1">
        <v>11.453</v>
      </c>
      <c r="J95" s="1">
        <v>-0.96</v>
      </c>
      <c r="K95" s="1">
        <v>-5.2</v>
      </c>
      <c r="L95" s="1">
        <v>113.0</v>
      </c>
      <c r="M95" s="1">
        <v>16.58</v>
      </c>
      <c r="N95" s="1" t="s">
        <v>17</v>
      </c>
    </row>
    <row r="96">
      <c r="A96" s="1" t="s">
        <v>32</v>
      </c>
      <c r="B96" s="1" t="s">
        <v>41</v>
      </c>
      <c r="C96" s="1">
        <v>2020.0</v>
      </c>
      <c r="D96" s="1">
        <v>13.77</v>
      </c>
      <c r="E96" s="1">
        <v>60.0</v>
      </c>
      <c r="F96" s="4">
        <v>-5.8</v>
      </c>
      <c r="G96" s="8">
        <v>6.6</v>
      </c>
      <c r="H96" s="1">
        <v>0.96</v>
      </c>
      <c r="I96" s="1">
        <v>11.498</v>
      </c>
      <c r="J96" s="1">
        <v>0.04</v>
      </c>
      <c r="K96" s="1">
        <v>0.5</v>
      </c>
      <c r="L96" s="1">
        <v>114.0</v>
      </c>
      <c r="M96" s="1">
        <v>15.84</v>
      </c>
      <c r="N96" s="1" t="s">
        <v>17</v>
      </c>
    </row>
    <row r="97">
      <c r="A97" s="1" t="s">
        <v>32</v>
      </c>
      <c r="B97" s="1" t="s">
        <v>41</v>
      </c>
      <c r="C97" s="1">
        <v>2021.0</v>
      </c>
      <c r="D97" s="1">
        <v>13.77</v>
      </c>
      <c r="E97" s="1">
        <v>60.0</v>
      </c>
      <c r="F97" s="4">
        <v>9.7</v>
      </c>
      <c r="G97" s="8">
        <v>5.1</v>
      </c>
      <c r="H97" s="1">
        <v>0.8</v>
      </c>
      <c r="I97" s="1">
        <v>11.5</v>
      </c>
      <c r="J97" s="1">
        <v>0.29</v>
      </c>
      <c r="K97" s="1">
        <v>4.2</v>
      </c>
      <c r="L97" s="1">
        <v>115.0</v>
      </c>
      <c r="M97" s="1">
        <v>13.77</v>
      </c>
      <c r="N97" s="1" t="s">
        <v>17</v>
      </c>
    </row>
    <row r="98">
      <c r="A98" s="1" t="s">
        <v>32</v>
      </c>
      <c r="B98" s="1" t="s">
        <v>41</v>
      </c>
      <c r="C98" s="1">
        <v>2022.0</v>
      </c>
      <c r="D98" s="1">
        <v>9.98</v>
      </c>
      <c r="E98" s="1">
        <v>60.0</v>
      </c>
      <c r="F98" s="8">
        <v>7.6</v>
      </c>
      <c r="G98" s="8">
        <v>6.7</v>
      </c>
      <c r="H98" s="1">
        <v>0.68</v>
      </c>
      <c r="I98" s="1">
        <v>11.486</v>
      </c>
      <c r="J98" s="1">
        <v>0.46</v>
      </c>
      <c r="K98" s="1">
        <v>7.8</v>
      </c>
      <c r="L98" s="1">
        <v>116.0</v>
      </c>
      <c r="M98" s="1">
        <v>13.77</v>
      </c>
      <c r="N98" s="1" t="s">
        <v>17</v>
      </c>
    </row>
    <row r="99">
      <c r="A99" s="1" t="s">
        <v>32</v>
      </c>
      <c r="B99" s="1" t="s">
        <v>41</v>
      </c>
      <c r="C99" s="1">
        <v>2023.0</v>
      </c>
      <c r="D99" s="1">
        <v>7.31</v>
      </c>
      <c r="E99" s="1">
        <v>61.0</v>
      </c>
      <c r="F99" s="8">
        <v>9.2</v>
      </c>
      <c r="G99" s="8">
        <v>5.7</v>
      </c>
      <c r="H99" s="1">
        <v>0.81</v>
      </c>
      <c r="I99" s="1">
        <v>11.507</v>
      </c>
      <c r="J99" s="1">
        <v>0.49</v>
      </c>
      <c r="K99" s="1">
        <v>10.3</v>
      </c>
      <c r="L99" s="1">
        <v>117.0</v>
      </c>
      <c r="M99" s="1">
        <v>9.98</v>
      </c>
      <c r="N99" s="1" t="s">
        <v>17</v>
      </c>
    </row>
    <row r="100">
      <c r="A100" s="1" t="s">
        <v>32</v>
      </c>
      <c r="B100" s="1" t="s">
        <v>41</v>
      </c>
      <c r="C100" s="1">
        <v>2024.0</v>
      </c>
      <c r="D100" s="1">
        <v>4.98</v>
      </c>
      <c r="E100" s="1">
        <v>62.0</v>
      </c>
      <c r="F100" s="9">
        <v>6.5</v>
      </c>
      <c r="G100" s="9">
        <v>4.9</v>
      </c>
      <c r="H100" s="1">
        <v>0.89</v>
      </c>
      <c r="I100" s="1">
        <v>11.608</v>
      </c>
      <c r="J100" s="1">
        <v>0.7</v>
      </c>
      <c r="K100" s="1">
        <v>13.1</v>
      </c>
      <c r="L100" s="1">
        <v>118.0</v>
      </c>
      <c r="M100" s="1">
        <v>7.31</v>
      </c>
      <c r="N100" s="1" t="s">
        <v>17</v>
      </c>
    </row>
    <row r="101">
      <c r="A101" s="1" t="s">
        <v>32</v>
      </c>
      <c r="B101" s="1" t="s">
        <v>42</v>
      </c>
      <c r="C101" s="1">
        <v>2014.0</v>
      </c>
      <c r="D101" s="1">
        <v>2.4</v>
      </c>
      <c r="E101" s="1">
        <v>62.0</v>
      </c>
      <c r="F101" s="4">
        <v>7.4</v>
      </c>
      <c r="G101" s="8">
        <v>6.6</v>
      </c>
      <c r="H101" s="1">
        <v>1.25</v>
      </c>
      <c r="I101" s="1">
        <v>10.277</v>
      </c>
      <c r="J101" s="1">
        <v>0.78</v>
      </c>
      <c r="K101" s="1">
        <v>14.35</v>
      </c>
      <c r="L101" s="1">
        <v>107.0</v>
      </c>
      <c r="M101" s="1">
        <v>1.76</v>
      </c>
      <c r="N101" s="1" t="s">
        <v>17</v>
      </c>
    </row>
    <row r="102">
      <c r="A102" s="1" t="s">
        <v>32</v>
      </c>
      <c r="B102" s="1" t="s">
        <v>42</v>
      </c>
      <c r="C102" s="1">
        <v>2015.0</v>
      </c>
      <c r="D102" s="1">
        <v>2.15</v>
      </c>
      <c r="E102" s="1">
        <v>62.0</v>
      </c>
      <c r="F102" s="4">
        <v>8.0</v>
      </c>
      <c r="G102" s="8">
        <v>4.9</v>
      </c>
      <c r="H102" s="1">
        <v>1.19</v>
      </c>
      <c r="I102" s="1">
        <v>10.314</v>
      </c>
      <c r="J102" s="1">
        <v>0.72</v>
      </c>
      <c r="K102" s="1">
        <v>13.2</v>
      </c>
      <c r="L102" s="1">
        <v>108.0</v>
      </c>
      <c r="M102" s="1">
        <v>2.4</v>
      </c>
      <c r="N102" s="1" t="s">
        <v>17</v>
      </c>
    </row>
    <row r="103">
      <c r="A103" s="1" t="s">
        <v>32</v>
      </c>
      <c r="B103" s="1" t="s">
        <v>42</v>
      </c>
      <c r="C103" s="1">
        <v>2016.0</v>
      </c>
      <c r="D103" s="1">
        <v>6.66</v>
      </c>
      <c r="E103" s="1">
        <v>60.0</v>
      </c>
      <c r="F103" s="4">
        <v>8.3</v>
      </c>
      <c r="G103" s="8">
        <v>4.9</v>
      </c>
      <c r="H103" s="1">
        <v>1.19</v>
      </c>
      <c r="I103" s="1">
        <v>10.353</v>
      </c>
      <c r="J103" s="1">
        <v>0.45</v>
      </c>
      <c r="K103" s="1">
        <v>8.02</v>
      </c>
      <c r="L103" s="1">
        <v>109.0</v>
      </c>
      <c r="M103" s="1">
        <v>2.15</v>
      </c>
      <c r="N103" s="1" t="s">
        <v>17</v>
      </c>
    </row>
    <row r="104">
      <c r="A104" s="1" t="s">
        <v>32</v>
      </c>
      <c r="B104" s="1" t="s">
        <v>42</v>
      </c>
      <c r="C104" s="1">
        <v>2017.0</v>
      </c>
      <c r="D104" s="1">
        <v>7.47</v>
      </c>
      <c r="E104" s="1">
        <v>60.0</v>
      </c>
      <c r="F104" s="4">
        <v>6.8</v>
      </c>
      <c r="G104" s="8">
        <v>3.3</v>
      </c>
      <c r="H104" s="1">
        <v>1.16</v>
      </c>
      <c r="I104" s="1">
        <v>10.426</v>
      </c>
      <c r="J104" s="1">
        <v>0.39</v>
      </c>
      <c r="K104" s="1">
        <v>8.58</v>
      </c>
      <c r="L104" s="1">
        <v>110.0</v>
      </c>
      <c r="M104" s="1">
        <v>6.66</v>
      </c>
      <c r="N104" s="1" t="s">
        <v>17</v>
      </c>
    </row>
    <row r="105">
      <c r="A105" s="1" t="s">
        <v>32</v>
      </c>
      <c r="B105" s="1" t="s">
        <v>42</v>
      </c>
      <c r="C105" s="1">
        <v>2018.0</v>
      </c>
      <c r="D105" s="1">
        <v>7.37</v>
      </c>
      <c r="E105" s="1">
        <v>59.0</v>
      </c>
      <c r="F105" s="4">
        <v>6.5</v>
      </c>
      <c r="G105" s="8">
        <v>3.9</v>
      </c>
      <c r="H105" s="1">
        <v>1.09</v>
      </c>
      <c r="I105" s="1">
        <v>10.504</v>
      </c>
      <c r="J105" s="1">
        <v>0.28</v>
      </c>
      <c r="K105" s="1">
        <v>6.14</v>
      </c>
      <c r="L105" s="1">
        <v>111.0</v>
      </c>
      <c r="M105" s="1">
        <v>7.47</v>
      </c>
      <c r="N105" s="1" t="s">
        <v>17</v>
      </c>
    </row>
    <row r="106">
      <c r="A106" s="1" t="s">
        <v>32</v>
      </c>
      <c r="B106" s="1" t="s">
        <v>42</v>
      </c>
      <c r="C106" s="1">
        <v>2019.0</v>
      </c>
      <c r="D106" s="1">
        <v>7.11</v>
      </c>
      <c r="E106" s="1">
        <v>59.0</v>
      </c>
      <c r="F106" s="4">
        <v>3.9</v>
      </c>
      <c r="G106" s="8">
        <v>3.7</v>
      </c>
      <c r="H106" s="1">
        <v>1.03</v>
      </c>
      <c r="I106" s="1">
        <v>10.498</v>
      </c>
      <c r="J106" s="1">
        <v>0.39</v>
      </c>
      <c r="K106" s="1">
        <v>8.25</v>
      </c>
      <c r="L106" s="1">
        <v>112.0</v>
      </c>
      <c r="M106" s="1">
        <v>7.37</v>
      </c>
      <c r="N106" s="1" t="s">
        <v>17</v>
      </c>
    </row>
    <row r="107">
      <c r="A107" s="1" t="s">
        <v>32</v>
      </c>
      <c r="B107" s="1" t="s">
        <v>42</v>
      </c>
      <c r="C107" s="1">
        <v>2020.0</v>
      </c>
      <c r="D107" s="1">
        <v>6.87</v>
      </c>
      <c r="E107" s="1">
        <v>60.0</v>
      </c>
      <c r="F107" s="4">
        <v>-5.8</v>
      </c>
      <c r="G107" s="8">
        <v>6.6</v>
      </c>
      <c r="H107" s="1">
        <v>0.96</v>
      </c>
      <c r="I107" s="1">
        <v>10.48</v>
      </c>
      <c r="J107" s="1">
        <v>0.33</v>
      </c>
      <c r="K107" s="1">
        <v>7.15</v>
      </c>
      <c r="L107" s="1">
        <v>113.0</v>
      </c>
      <c r="M107" s="1">
        <v>7.11</v>
      </c>
      <c r="N107" s="1" t="s">
        <v>17</v>
      </c>
    </row>
    <row r="108">
      <c r="A108" s="1" t="s">
        <v>32</v>
      </c>
      <c r="B108" s="1" t="s">
        <v>42</v>
      </c>
      <c r="C108" s="1">
        <v>2021.0</v>
      </c>
      <c r="D108" s="1">
        <v>9.85</v>
      </c>
      <c r="E108" s="1">
        <v>60.0</v>
      </c>
      <c r="F108" s="4">
        <v>9.7</v>
      </c>
      <c r="G108" s="8">
        <v>5.1</v>
      </c>
      <c r="H108" s="1">
        <v>0.8</v>
      </c>
      <c r="I108" s="1">
        <v>11.224</v>
      </c>
      <c r="J108" s="1">
        <v>0.47</v>
      </c>
      <c r="K108" s="1">
        <v>13.8</v>
      </c>
      <c r="L108" s="1">
        <v>114.0</v>
      </c>
      <c r="M108" s="1">
        <v>6.87</v>
      </c>
      <c r="N108" s="1" t="s">
        <v>17</v>
      </c>
    </row>
    <row r="109">
      <c r="A109" s="1" t="s">
        <v>32</v>
      </c>
      <c r="B109" s="1" t="s">
        <v>42</v>
      </c>
      <c r="C109" s="1">
        <v>2022.0</v>
      </c>
      <c r="D109" s="1">
        <v>8.0</v>
      </c>
      <c r="E109" s="1">
        <v>60.0</v>
      </c>
      <c r="F109" s="8">
        <v>7.6</v>
      </c>
      <c r="G109" s="8">
        <v>6.7</v>
      </c>
      <c r="H109" s="1">
        <v>0.68</v>
      </c>
      <c r="I109" s="1">
        <v>11.31</v>
      </c>
      <c r="J109" s="1">
        <v>0.58</v>
      </c>
      <c r="K109" s="1">
        <v>13.14</v>
      </c>
      <c r="L109" s="1">
        <v>115.0</v>
      </c>
      <c r="M109" s="1">
        <v>9.85</v>
      </c>
      <c r="N109" s="1" t="s">
        <v>17</v>
      </c>
    </row>
    <row r="110">
      <c r="A110" s="1" t="s">
        <v>32</v>
      </c>
      <c r="B110" s="1" t="s">
        <v>42</v>
      </c>
      <c r="C110" s="1">
        <v>2023.0</v>
      </c>
      <c r="D110" s="1">
        <v>5.95</v>
      </c>
      <c r="E110" s="1">
        <v>61.0</v>
      </c>
      <c r="F110" s="8">
        <v>9.2</v>
      </c>
      <c r="G110" s="8">
        <v>5.7</v>
      </c>
      <c r="H110" s="1">
        <v>0.81</v>
      </c>
      <c r="I110" s="1">
        <v>11.37</v>
      </c>
      <c r="J110" s="1">
        <v>0.74</v>
      </c>
      <c r="K110" s="1">
        <v>15.38</v>
      </c>
      <c r="L110" s="1">
        <v>116.0</v>
      </c>
      <c r="M110" s="1">
        <v>8.0</v>
      </c>
      <c r="N110" s="1" t="s">
        <v>17</v>
      </c>
    </row>
    <row r="111">
      <c r="A111" s="1" t="s">
        <v>32</v>
      </c>
      <c r="B111" s="1" t="s">
        <v>42</v>
      </c>
      <c r="C111" s="1">
        <v>2024.0</v>
      </c>
      <c r="D111" s="1">
        <v>4.0</v>
      </c>
      <c r="E111" s="1">
        <v>62.0</v>
      </c>
      <c r="F111" s="9">
        <v>6.5</v>
      </c>
      <c r="G111" s="9">
        <v>4.9</v>
      </c>
      <c r="H111" s="1">
        <v>0.89</v>
      </c>
      <c r="I111" s="1">
        <v>11.467</v>
      </c>
      <c r="J111" s="1">
        <v>1.01</v>
      </c>
      <c r="K111" s="1">
        <v>17.57</v>
      </c>
      <c r="L111" s="1">
        <v>117.0</v>
      </c>
      <c r="M111" s="1">
        <v>5.95</v>
      </c>
      <c r="N111" s="1" t="s">
        <v>17</v>
      </c>
    </row>
    <row r="112">
      <c r="A112" s="1" t="s">
        <v>32</v>
      </c>
      <c r="B112" s="1" t="s">
        <v>43</v>
      </c>
      <c r="C112" s="1">
        <v>2014.0</v>
      </c>
      <c r="D112" s="1">
        <v>1.21</v>
      </c>
      <c r="E112" s="1">
        <v>62.0</v>
      </c>
      <c r="F112" s="4">
        <v>7.4</v>
      </c>
      <c r="G112" s="8">
        <v>6.6</v>
      </c>
      <c r="H112" s="1">
        <v>1.25</v>
      </c>
      <c r="I112" s="1">
        <v>9.546</v>
      </c>
      <c r="J112" s="1">
        <v>1.8</v>
      </c>
      <c r="K112" s="1">
        <v>14.2</v>
      </c>
      <c r="L112" s="1">
        <v>11.0</v>
      </c>
      <c r="M112" s="1">
        <v>1.75</v>
      </c>
      <c r="N112" s="1" t="s">
        <v>19</v>
      </c>
    </row>
    <row r="113">
      <c r="A113" s="1" t="s">
        <v>32</v>
      </c>
      <c r="B113" s="1" t="s">
        <v>43</v>
      </c>
      <c r="C113" s="1">
        <v>2015.0</v>
      </c>
      <c r="D113" s="1">
        <v>1.0</v>
      </c>
      <c r="E113" s="1">
        <v>62.0</v>
      </c>
      <c r="F113" s="4">
        <v>8.0</v>
      </c>
      <c r="G113" s="8">
        <v>4.9</v>
      </c>
      <c r="H113" s="1">
        <v>1.19</v>
      </c>
      <c r="I113" s="1">
        <v>9.719</v>
      </c>
      <c r="J113" s="1">
        <v>2.0</v>
      </c>
      <c r="K113" s="1">
        <v>14.8</v>
      </c>
      <c r="L113" s="1">
        <v>12.0</v>
      </c>
      <c r="M113" s="1">
        <v>1.21</v>
      </c>
      <c r="N113" s="1" t="s">
        <v>19</v>
      </c>
    </row>
    <row r="114">
      <c r="A114" s="1" t="s">
        <v>32</v>
      </c>
      <c r="B114" s="1" t="s">
        <v>43</v>
      </c>
      <c r="C114" s="1">
        <v>2016.0</v>
      </c>
      <c r="D114" s="1">
        <v>1.06</v>
      </c>
      <c r="E114" s="1">
        <v>60.0</v>
      </c>
      <c r="F114" s="4">
        <v>8.3</v>
      </c>
      <c r="G114" s="8">
        <v>4.9</v>
      </c>
      <c r="H114" s="1">
        <v>1.19</v>
      </c>
      <c r="I114" s="1">
        <v>10.244</v>
      </c>
      <c r="J114" s="1">
        <v>1.36</v>
      </c>
      <c r="K114" s="1">
        <v>10.02</v>
      </c>
      <c r="L114" s="1">
        <v>13.0</v>
      </c>
      <c r="M114" s="1">
        <v>1.0</v>
      </c>
      <c r="N114" s="1" t="s">
        <v>19</v>
      </c>
    </row>
    <row r="115">
      <c r="A115" s="1" t="s">
        <v>32</v>
      </c>
      <c r="B115" s="1" t="s">
        <v>43</v>
      </c>
      <c r="C115" s="1">
        <v>2017.0</v>
      </c>
      <c r="D115" s="1">
        <v>2.36</v>
      </c>
      <c r="E115" s="1">
        <v>60.0</v>
      </c>
      <c r="F115" s="4">
        <v>6.8</v>
      </c>
      <c r="G115" s="8">
        <v>3.3</v>
      </c>
      <c r="H115" s="1">
        <v>1.16</v>
      </c>
      <c r="I115" s="1">
        <v>10.454</v>
      </c>
      <c r="J115" s="1">
        <v>1.75</v>
      </c>
      <c r="K115" s="1">
        <v>12.71</v>
      </c>
      <c r="L115" s="1">
        <v>14.0</v>
      </c>
      <c r="M115" s="1">
        <v>1.06</v>
      </c>
      <c r="N115" s="1" t="s">
        <v>19</v>
      </c>
    </row>
    <row r="116">
      <c r="A116" s="1" t="s">
        <v>32</v>
      </c>
      <c r="B116" s="1" t="s">
        <v>43</v>
      </c>
      <c r="C116" s="1">
        <v>2018.0</v>
      </c>
      <c r="D116" s="1">
        <v>2.22</v>
      </c>
      <c r="E116" s="1">
        <v>59.0</v>
      </c>
      <c r="F116" s="4">
        <v>6.5</v>
      </c>
      <c r="G116" s="8">
        <v>3.9</v>
      </c>
      <c r="H116" s="1">
        <v>1.09</v>
      </c>
      <c r="I116" s="1">
        <v>10.747</v>
      </c>
      <c r="J116" s="1">
        <v>1.78</v>
      </c>
      <c r="K116" s="1">
        <v>12.87</v>
      </c>
      <c r="L116" s="1">
        <v>15.0</v>
      </c>
      <c r="M116" s="1">
        <v>2.36</v>
      </c>
      <c r="N116" s="1" t="s">
        <v>19</v>
      </c>
    </row>
    <row r="117">
      <c r="A117" s="1" t="s">
        <v>32</v>
      </c>
      <c r="B117" s="1" t="s">
        <v>43</v>
      </c>
      <c r="C117" s="1">
        <v>2019.0</v>
      </c>
      <c r="D117" s="1">
        <v>2.14</v>
      </c>
      <c r="E117" s="1">
        <v>59.0</v>
      </c>
      <c r="F117" s="4">
        <v>3.9</v>
      </c>
      <c r="G117" s="8">
        <v>3.7</v>
      </c>
      <c r="H117" s="1">
        <v>1.03</v>
      </c>
      <c r="I117" s="1">
        <v>10.872</v>
      </c>
      <c r="J117" s="1">
        <v>1.9</v>
      </c>
      <c r="K117" s="1">
        <v>13.25</v>
      </c>
      <c r="L117" s="1">
        <v>16.0</v>
      </c>
      <c r="M117" s="1">
        <v>2.22</v>
      </c>
      <c r="N117" s="1" t="s">
        <v>19</v>
      </c>
    </row>
    <row r="118">
      <c r="A118" s="1" t="s">
        <v>32</v>
      </c>
      <c r="B118" s="1" t="s">
        <v>43</v>
      </c>
      <c r="C118" s="1">
        <v>2020.0</v>
      </c>
      <c r="D118" s="1">
        <v>1.9</v>
      </c>
      <c r="E118" s="1">
        <v>60.0</v>
      </c>
      <c r="F118" s="4">
        <v>-5.8</v>
      </c>
      <c r="G118" s="8">
        <v>6.6</v>
      </c>
      <c r="H118" s="1">
        <v>0.96</v>
      </c>
      <c r="I118" s="1">
        <v>10.952</v>
      </c>
      <c r="J118" s="1">
        <v>1.8</v>
      </c>
      <c r="K118" s="1">
        <v>13.82</v>
      </c>
      <c r="L118" s="1">
        <v>17.0</v>
      </c>
      <c r="M118" s="1">
        <v>2.14</v>
      </c>
      <c r="N118" s="1" t="s">
        <v>19</v>
      </c>
    </row>
    <row r="119">
      <c r="A119" s="1" t="s">
        <v>32</v>
      </c>
      <c r="B119" s="1" t="s">
        <v>43</v>
      </c>
      <c r="C119" s="1">
        <v>2021.0</v>
      </c>
      <c r="D119" s="1">
        <v>3.25</v>
      </c>
      <c r="E119" s="1">
        <v>60.0</v>
      </c>
      <c r="F119" s="4">
        <v>9.7</v>
      </c>
      <c r="G119" s="8">
        <v>5.1</v>
      </c>
      <c r="H119" s="1">
        <v>0.8</v>
      </c>
      <c r="I119" s="1">
        <v>11.096</v>
      </c>
      <c r="J119" s="1">
        <v>2.23</v>
      </c>
      <c r="K119" s="1">
        <v>14.99</v>
      </c>
      <c r="L119" s="1">
        <v>18.0</v>
      </c>
      <c r="M119" s="1">
        <v>1.9</v>
      </c>
      <c r="N119" s="1" t="s">
        <v>19</v>
      </c>
    </row>
    <row r="120">
      <c r="A120" s="1" t="s">
        <v>32</v>
      </c>
      <c r="B120" s="1" t="s">
        <v>43</v>
      </c>
      <c r="C120" s="1">
        <v>2022.0</v>
      </c>
      <c r="D120" s="1">
        <v>2.34</v>
      </c>
      <c r="E120" s="1">
        <v>60.0</v>
      </c>
      <c r="F120" s="8">
        <v>7.6</v>
      </c>
      <c r="G120" s="8">
        <v>6.7</v>
      </c>
      <c r="H120" s="1">
        <v>0.68</v>
      </c>
      <c r="I120" s="1">
        <v>11.176</v>
      </c>
      <c r="J120" s="1">
        <v>2.29</v>
      </c>
      <c r="K120" s="1">
        <v>14.82</v>
      </c>
      <c r="L120" s="1">
        <v>19.0</v>
      </c>
      <c r="M120" s="1">
        <v>3.25</v>
      </c>
      <c r="N120" s="1" t="s">
        <v>19</v>
      </c>
    </row>
    <row r="121">
      <c r="A121" s="1" t="s">
        <v>32</v>
      </c>
      <c r="B121" s="1" t="s">
        <v>43</v>
      </c>
      <c r="C121" s="1">
        <v>2023.0</v>
      </c>
      <c r="D121" s="1">
        <v>1.8</v>
      </c>
      <c r="E121" s="1">
        <v>61.0</v>
      </c>
      <c r="F121" s="8">
        <v>9.2</v>
      </c>
      <c r="G121" s="8">
        <v>5.7</v>
      </c>
      <c r="H121" s="1">
        <v>0.81</v>
      </c>
      <c r="I121" s="1">
        <v>11.201</v>
      </c>
      <c r="J121" s="1">
        <v>2.37</v>
      </c>
      <c r="K121" s="1">
        <v>14.05</v>
      </c>
      <c r="L121" s="1">
        <v>20.0</v>
      </c>
      <c r="M121" s="1">
        <v>2.34</v>
      </c>
      <c r="N121" s="1" t="s">
        <v>19</v>
      </c>
    </row>
    <row r="122">
      <c r="A122" s="1" t="s">
        <v>32</v>
      </c>
      <c r="B122" s="1" t="s">
        <v>43</v>
      </c>
      <c r="C122" s="1">
        <v>2024.0</v>
      </c>
      <c r="D122" s="1">
        <v>1.4</v>
      </c>
      <c r="E122" s="1">
        <v>62.0</v>
      </c>
      <c r="F122" s="9">
        <v>6.5</v>
      </c>
      <c r="G122" s="9">
        <v>4.9</v>
      </c>
      <c r="H122" s="1">
        <v>0.89</v>
      </c>
      <c r="I122" s="1">
        <v>11.333</v>
      </c>
      <c r="J122" s="1">
        <v>2.37</v>
      </c>
      <c r="K122" s="1">
        <v>13.55</v>
      </c>
      <c r="L122" s="1">
        <v>21.0</v>
      </c>
      <c r="M122" s="1">
        <v>1.8</v>
      </c>
      <c r="N122" s="1" t="s">
        <v>19</v>
      </c>
    </row>
    <row r="123">
      <c r="A123" s="1" t="s">
        <v>32</v>
      </c>
      <c r="B123" s="1" t="s">
        <v>44</v>
      </c>
      <c r="C123" s="1">
        <v>2014.0</v>
      </c>
      <c r="D123" s="1">
        <v>1.13</v>
      </c>
      <c r="E123" s="1">
        <v>62.0</v>
      </c>
      <c r="F123" s="4">
        <v>7.4</v>
      </c>
      <c r="G123" s="8">
        <v>6.6</v>
      </c>
      <c r="H123" s="1">
        <v>1.25</v>
      </c>
      <c r="I123" s="1">
        <v>9.589</v>
      </c>
      <c r="J123" s="1">
        <v>1.85</v>
      </c>
      <c r="K123" s="1">
        <v>15.78</v>
      </c>
      <c r="L123" s="1">
        <v>20.0</v>
      </c>
      <c r="M123" s="1">
        <v>1.03</v>
      </c>
      <c r="N123" s="1" t="s">
        <v>19</v>
      </c>
    </row>
    <row r="124">
      <c r="A124" s="1" t="s">
        <v>32</v>
      </c>
      <c r="B124" s="1" t="s">
        <v>44</v>
      </c>
      <c r="C124" s="1">
        <v>2015.0</v>
      </c>
      <c r="D124" s="1">
        <v>0.86</v>
      </c>
      <c r="E124" s="1">
        <v>62.0</v>
      </c>
      <c r="F124" s="4">
        <v>8.0</v>
      </c>
      <c r="G124" s="8">
        <v>4.9</v>
      </c>
      <c r="H124" s="1">
        <v>1.19</v>
      </c>
      <c r="I124" s="1">
        <v>9.776</v>
      </c>
      <c r="J124" s="1">
        <v>1.85</v>
      </c>
      <c r="K124" s="1">
        <v>15.39</v>
      </c>
      <c r="L124" s="1">
        <v>21.0</v>
      </c>
      <c r="M124" s="1">
        <v>1.13</v>
      </c>
      <c r="N124" s="1" t="s">
        <v>19</v>
      </c>
    </row>
    <row r="125">
      <c r="A125" s="1" t="s">
        <v>32</v>
      </c>
      <c r="B125" s="1" t="s">
        <v>44</v>
      </c>
      <c r="C125" s="1">
        <v>2016.0</v>
      </c>
      <c r="D125" s="1">
        <v>0.92</v>
      </c>
      <c r="E125" s="1">
        <v>60.0</v>
      </c>
      <c r="F125" s="4">
        <v>8.3</v>
      </c>
      <c r="G125" s="8">
        <v>4.9</v>
      </c>
      <c r="H125" s="1">
        <v>1.19</v>
      </c>
      <c r="I125" s="1">
        <v>9.915</v>
      </c>
      <c r="J125" s="1">
        <v>1.9</v>
      </c>
      <c r="K125" s="1">
        <v>15.06</v>
      </c>
      <c r="L125" s="1">
        <v>22.0</v>
      </c>
      <c r="M125" s="1">
        <v>0.86</v>
      </c>
      <c r="N125" s="1" t="s">
        <v>19</v>
      </c>
    </row>
    <row r="126">
      <c r="A126" s="1" t="s">
        <v>32</v>
      </c>
      <c r="B126" s="1" t="s">
        <v>44</v>
      </c>
      <c r="C126" s="1">
        <v>2017.0</v>
      </c>
      <c r="D126" s="1">
        <v>0.93</v>
      </c>
      <c r="E126" s="1">
        <v>60.0</v>
      </c>
      <c r="F126" s="4">
        <v>6.8</v>
      </c>
      <c r="G126" s="8">
        <v>3.3</v>
      </c>
      <c r="H126" s="1">
        <v>1.16</v>
      </c>
      <c r="I126" s="1">
        <v>10.101</v>
      </c>
      <c r="J126" s="1">
        <v>1.88</v>
      </c>
      <c r="K126" s="1">
        <v>13.3</v>
      </c>
      <c r="L126" s="1">
        <v>23.0</v>
      </c>
      <c r="M126" s="1">
        <v>0.92</v>
      </c>
      <c r="N126" s="1" t="s">
        <v>19</v>
      </c>
    </row>
    <row r="127">
      <c r="A127" s="1" t="s">
        <v>32</v>
      </c>
      <c r="B127" s="1" t="s">
        <v>44</v>
      </c>
      <c r="C127" s="1">
        <v>2018.0</v>
      </c>
      <c r="D127" s="1">
        <v>1.16</v>
      </c>
      <c r="E127" s="1">
        <v>59.0</v>
      </c>
      <c r="F127" s="4">
        <v>6.5</v>
      </c>
      <c r="G127" s="8">
        <v>3.9</v>
      </c>
      <c r="H127" s="1">
        <v>1.09</v>
      </c>
      <c r="I127" s="1">
        <v>10.315</v>
      </c>
      <c r="J127" s="1">
        <v>1.85</v>
      </c>
      <c r="K127" s="1">
        <v>15.2</v>
      </c>
      <c r="L127" s="1">
        <v>24.0</v>
      </c>
      <c r="M127" s="1">
        <v>0.93</v>
      </c>
      <c r="N127" s="1" t="s">
        <v>19</v>
      </c>
    </row>
    <row r="128">
      <c r="A128" s="1" t="s">
        <v>32</v>
      </c>
      <c r="B128" s="1" t="s">
        <v>44</v>
      </c>
      <c r="C128" s="1">
        <v>2019.0</v>
      </c>
      <c r="D128" s="1">
        <v>2.1</v>
      </c>
      <c r="E128" s="1">
        <v>59.0</v>
      </c>
      <c r="F128" s="4">
        <v>3.9</v>
      </c>
      <c r="G128" s="8">
        <v>3.7</v>
      </c>
      <c r="H128" s="1">
        <v>1.03</v>
      </c>
      <c r="I128" s="1">
        <v>10.416</v>
      </c>
      <c r="J128" s="1">
        <v>1.83</v>
      </c>
      <c r="K128" s="1">
        <v>16.53</v>
      </c>
      <c r="L128" s="1">
        <v>25.0</v>
      </c>
      <c r="M128" s="1">
        <v>1.16</v>
      </c>
      <c r="N128" s="1" t="s">
        <v>19</v>
      </c>
    </row>
    <row r="129">
      <c r="A129" s="1" t="s">
        <v>32</v>
      </c>
      <c r="B129" s="1" t="s">
        <v>44</v>
      </c>
      <c r="C129" s="1">
        <v>2020.0</v>
      </c>
      <c r="D129" s="1">
        <v>2.45</v>
      </c>
      <c r="E129" s="1">
        <v>60.0</v>
      </c>
      <c r="F129" s="4">
        <v>-5.8</v>
      </c>
      <c r="G129" s="8">
        <v>6.6</v>
      </c>
      <c r="H129" s="1">
        <v>0.96</v>
      </c>
      <c r="I129" s="1">
        <v>10.62</v>
      </c>
      <c r="J129" s="1">
        <v>1.41</v>
      </c>
      <c r="K129" s="1">
        <v>13.45</v>
      </c>
      <c r="L129" s="1">
        <v>26.0</v>
      </c>
      <c r="M129" s="1">
        <v>2.1</v>
      </c>
      <c r="N129" s="1" t="s">
        <v>19</v>
      </c>
    </row>
    <row r="130">
      <c r="A130" s="1" t="s">
        <v>32</v>
      </c>
      <c r="B130" s="1" t="s">
        <v>44</v>
      </c>
      <c r="C130" s="1">
        <v>2021.0</v>
      </c>
      <c r="D130" s="1">
        <v>2.67</v>
      </c>
      <c r="E130" s="1">
        <v>60.0</v>
      </c>
      <c r="F130" s="4">
        <v>9.7</v>
      </c>
      <c r="G130" s="8">
        <v>5.1</v>
      </c>
      <c r="H130" s="1">
        <v>0.8</v>
      </c>
      <c r="I130" s="1">
        <v>10.802</v>
      </c>
      <c r="J130" s="1">
        <v>0.78</v>
      </c>
      <c r="K130" s="1">
        <v>7.99</v>
      </c>
      <c r="L130" s="1">
        <v>27.0</v>
      </c>
      <c r="M130" s="1">
        <v>2.45</v>
      </c>
      <c r="N130" s="1" t="s">
        <v>19</v>
      </c>
    </row>
    <row r="131">
      <c r="A131" s="1" t="s">
        <v>32</v>
      </c>
      <c r="B131" s="1" t="s">
        <v>44</v>
      </c>
      <c r="C131" s="1">
        <v>2022.0</v>
      </c>
      <c r="D131" s="1">
        <v>2.27</v>
      </c>
      <c r="E131" s="1">
        <v>60.0</v>
      </c>
      <c r="F131" s="8">
        <v>7.6</v>
      </c>
      <c r="G131" s="8">
        <v>6.7</v>
      </c>
      <c r="H131" s="1">
        <v>0.68</v>
      </c>
      <c r="I131" s="1">
        <v>10.915</v>
      </c>
      <c r="J131" s="1">
        <v>1.14</v>
      </c>
      <c r="K131" s="1">
        <v>11.32</v>
      </c>
      <c r="L131" s="1">
        <v>28.0</v>
      </c>
      <c r="M131" s="1">
        <v>2.67</v>
      </c>
      <c r="N131" s="1" t="s">
        <v>19</v>
      </c>
    </row>
    <row r="132">
      <c r="A132" s="1" t="s">
        <v>32</v>
      </c>
      <c r="B132" s="1" t="s">
        <v>44</v>
      </c>
      <c r="C132" s="1">
        <v>2023.0</v>
      </c>
      <c r="D132" s="1">
        <v>1.92</v>
      </c>
      <c r="E132" s="1">
        <v>61.0</v>
      </c>
      <c r="F132" s="8">
        <v>9.2</v>
      </c>
      <c r="G132" s="8">
        <v>5.7</v>
      </c>
      <c r="H132" s="1">
        <v>0.81</v>
      </c>
      <c r="I132" s="1">
        <v>10.966</v>
      </c>
      <c r="J132" s="1">
        <v>1.61</v>
      </c>
      <c r="K132" s="1">
        <v>13.19</v>
      </c>
      <c r="L132" s="1">
        <v>29.0</v>
      </c>
      <c r="M132" s="1">
        <v>2.27</v>
      </c>
      <c r="N132" s="1" t="s">
        <v>19</v>
      </c>
    </row>
    <row r="133">
      <c r="A133" s="1" t="s">
        <v>32</v>
      </c>
      <c r="B133" s="1" t="s">
        <v>44</v>
      </c>
      <c r="C133" s="1">
        <v>2024.0</v>
      </c>
      <c r="D133" s="1">
        <v>3.13</v>
      </c>
      <c r="E133" s="1">
        <v>62.0</v>
      </c>
      <c r="F133" s="9">
        <v>6.5</v>
      </c>
      <c r="G133" s="9">
        <v>4.9</v>
      </c>
      <c r="H133" s="1">
        <v>0.89</v>
      </c>
      <c r="I133" s="1">
        <v>11.109</v>
      </c>
      <c r="J133" s="1">
        <v>1.73</v>
      </c>
      <c r="K133" s="1">
        <v>15.15</v>
      </c>
      <c r="L133" s="1">
        <v>30.0</v>
      </c>
      <c r="M133" s="1">
        <v>1.92</v>
      </c>
      <c r="N133" s="1" t="s">
        <v>19</v>
      </c>
    </row>
    <row r="134">
      <c r="A134" s="1" t="s">
        <v>32</v>
      </c>
      <c r="B134" s="1" t="s">
        <v>45</v>
      </c>
      <c r="C134" s="1">
        <v>2014.0</v>
      </c>
      <c r="D134" s="1">
        <v>0.05</v>
      </c>
      <c r="E134" s="1">
        <v>62.0</v>
      </c>
      <c r="F134" s="4">
        <v>7.4</v>
      </c>
      <c r="G134" s="8">
        <v>6.6</v>
      </c>
      <c r="H134" s="1">
        <v>1.25</v>
      </c>
      <c r="I134" s="1">
        <v>9.799</v>
      </c>
      <c r="J134" s="1">
        <v>1.6</v>
      </c>
      <c r="K134" s="1">
        <v>21.4</v>
      </c>
      <c r="L134" s="1">
        <v>10.0</v>
      </c>
      <c r="M134" s="1">
        <v>0.22</v>
      </c>
      <c r="N134" s="1" t="s">
        <v>19</v>
      </c>
    </row>
    <row r="135">
      <c r="A135" s="1" t="s">
        <v>32</v>
      </c>
      <c r="B135" s="1" t="s">
        <v>45</v>
      </c>
      <c r="C135" s="1">
        <v>2015.0</v>
      </c>
      <c r="D135" s="1">
        <v>0.2</v>
      </c>
      <c r="E135" s="1">
        <v>62.0</v>
      </c>
      <c r="F135" s="4">
        <v>8.0</v>
      </c>
      <c r="G135" s="8">
        <v>4.9</v>
      </c>
      <c r="H135" s="1">
        <v>1.19</v>
      </c>
      <c r="I135" s="1">
        <v>9.997</v>
      </c>
      <c r="J135" s="1">
        <v>1.6</v>
      </c>
      <c r="K135" s="1">
        <v>20.5</v>
      </c>
      <c r="L135" s="1">
        <v>11.0</v>
      </c>
      <c r="M135" s="1">
        <v>0.05</v>
      </c>
      <c r="N135" s="1" t="s">
        <v>19</v>
      </c>
    </row>
    <row r="136">
      <c r="A136" s="1" t="s">
        <v>32</v>
      </c>
      <c r="B136" s="1" t="s">
        <v>45</v>
      </c>
      <c r="C136" s="1">
        <v>2016.0</v>
      </c>
      <c r="D136" s="1">
        <v>0.76</v>
      </c>
      <c r="E136" s="1">
        <v>60.0</v>
      </c>
      <c r="F136" s="4">
        <v>8.3</v>
      </c>
      <c r="G136" s="8">
        <v>4.9</v>
      </c>
      <c r="H136" s="1">
        <v>1.19</v>
      </c>
      <c r="I136" s="1">
        <v>10.125</v>
      </c>
      <c r="J136" s="1">
        <v>1.6</v>
      </c>
      <c r="K136" s="1">
        <v>18.7</v>
      </c>
      <c r="L136" s="1">
        <v>12.0</v>
      </c>
      <c r="M136" s="1">
        <v>0.2</v>
      </c>
      <c r="N136" s="1" t="s">
        <v>19</v>
      </c>
    </row>
    <row r="137">
      <c r="A137" s="1" t="s">
        <v>32</v>
      </c>
      <c r="B137" s="1" t="s">
        <v>45</v>
      </c>
      <c r="C137" s="1">
        <v>2017.0</v>
      </c>
      <c r="D137" s="1">
        <v>1.52</v>
      </c>
      <c r="E137" s="1">
        <v>60.0</v>
      </c>
      <c r="F137" s="4">
        <v>6.8</v>
      </c>
      <c r="G137" s="8">
        <v>3.3</v>
      </c>
      <c r="H137" s="1">
        <v>1.16</v>
      </c>
      <c r="I137" s="1">
        <v>10.377</v>
      </c>
      <c r="J137" s="1">
        <v>1.6</v>
      </c>
      <c r="K137" s="1">
        <v>18.6</v>
      </c>
      <c r="L137" s="1">
        <v>13.0</v>
      </c>
      <c r="M137" s="1">
        <v>0.76</v>
      </c>
      <c r="N137" s="1" t="s">
        <v>19</v>
      </c>
    </row>
    <row r="138">
      <c r="A138" s="1" t="s">
        <v>32</v>
      </c>
      <c r="B138" s="1" t="s">
        <v>45</v>
      </c>
      <c r="C138" s="1">
        <v>2018.0</v>
      </c>
      <c r="D138" s="1">
        <v>1.28</v>
      </c>
      <c r="E138" s="1">
        <v>59.0</v>
      </c>
      <c r="F138" s="4">
        <v>6.5</v>
      </c>
      <c r="G138" s="8">
        <v>3.9</v>
      </c>
      <c r="H138" s="1">
        <v>1.09</v>
      </c>
      <c r="I138" s="1">
        <v>10.788</v>
      </c>
      <c r="J138" s="1">
        <v>1.5</v>
      </c>
      <c r="K138" s="1">
        <v>17.7</v>
      </c>
      <c r="L138" s="1">
        <v>14.0</v>
      </c>
      <c r="M138" s="1">
        <v>1.52</v>
      </c>
      <c r="N138" s="1" t="s">
        <v>19</v>
      </c>
    </row>
    <row r="139">
      <c r="A139" s="1" t="s">
        <v>32</v>
      </c>
      <c r="B139" s="1" t="s">
        <v>45</v>
      </c>
      <c r="C139" s="1">
        <v>2019.0</v>
      </c>
      <c r="D139" s="1">
        <v>3.22</v>
      </c>
      <c r="E139" s="1">
        <v>59.0</v>
      </c>
      <c r="F139" s="4">
        <v>3.9</v>
      </c>
      <c r="G139" s="8">
        <v>3.7</v>
      </c>
      <c r="H139" s="1">
        <v>1.03</v>
      </c>
      <c r="I139" s="1">
        <v>10.911</v>
      </c>
      <c r="J139" s="1">
        <v>0.5</v>
      </c>
      <c r="K139" s="1">
        <v>5.0</v>
      </c>
      <c r="L139" s="1">
        <v>15.0</v>
      </c>
      <c r="M139" s="1">
        <v>1.28</v>
      </c>
      <c r="N139" s="1" t="s">
        <v>19</v>
      </c>
    </row>
    <row r="140">
      <c r="A140" s="1" t="s">
        <v>32</v>
      </c>
      <c r="B140" s="1" t="s">
        <v>45</v>
      </c>
      <c r="C140" s="1">
        <v>2020.0</v>
      </c>
      <c r="D140" s="1">
        <v>16.8</v>
      </c>
      <c r="E140" s="1">
        <v>60.0</v>
      </c>
      <c r="F140" s="4">
        <v>-5.8</v>
      </c>
      <c r="G140" s="8">
        <v>6.6</v>
      </c>
      <c r="H140" s="1">
        <v>0.96</v>
      </c>
      <c r="I140" s="1">
        <v>10.776</v>
      </c>
      <c r="J140" s="1">
        <v>-3.41</v>
      </c>
      <c r="K140" s="1">
        <v>-34.1</v>
      </c>
      <c r="L140" s="1">
        <v>16.0</v>
      </c>
      <c r="M140" s="1">
        <v>3.22</v>
      </c>
      <c r="N140" s="1" t="s">
        <v>19</v>
      </c>
    </row>
    <row r="141">
      <c r="A141" s="1" t="s">
        <v>32</v>
      </c>
      <c r="B141" s="1" t="s">
        <v>45</v>
      </c>
      <c r="C141" s="1">
        <v>2021.0</v>
      </c>
      <c r="D141" s="1">
        <v>15.4</v>
      </c>
      <c r="E141" s="1">
        <v>60.0</v>
      </c>
      <c r="F141" s="4">
        <v>9.7</v>
      </c>
      <c r="G141" s="8">
        <v>5.1</v>
      </c>
      <c r="H141" s="1">
        <v>0.8</v>
      </c>
      <c r="I141" s="1">
        <v>10.525</v>
      </c>
      <c r="J141" s="1">
        <v>-1.26</v>
      </c>
      <c r="K141" s="1">
        <v>-13.6</v>
      </c>
      <c r="L141" s="1">
        <v>17.0</v>
      </c>
      <c r="M141" s="1">
        <v>16.8</v>
      </c>
      <c r="N141" s="1" t="s">
        <v>19</v>
      </c>
    </row>
    <row r="142">
      <c r="A142" s="1" t="s">
        <v>32</v>
      </c>
      <c r="B142" s="1" t="s">
        <v>45</v>
      </c>
      <c r="C142" s="1">
        <v>2022.0</v>
      </c>
      <c r="D142" s="1">
        <v>1.73</v>
      </c>
      <c r="E142" s="1">
        <v>60.0</v>
      </c>
      <c r="F142" s="8">
        <v>7.6</v>
      </c>
      <c r="G142" s="8">
        <v>6.7</v>
      </c>
      <c r="H142" s="1">
        <v>0.68</v>
      </c>
      <c r="I142" s="1">
        <v>10.649</v>
      </c>
      <c r="J142" s="1">
        <v>0.33</v>
      </c>
      <c r="K142" s="1">
        <v>1.6</v>
      </c>
      <c r="L142" s="1">
        <v>18.0</v>
      </c>
      <c r="M142" s="1">
        <v>15.4</v>
      </c>
      <c r="N142" s="1" t="s">
        <v>19</v>
      </c>
    </row>
    <row r="143">
      <c r="A143" s="1" t="s">
        <v>32</v>
      </c>
      <c r="B143" s="1" t="s">
        <v>45</v>
      </c>
      <c r="C143" s="1">
        <v>2023.0</v>
      </c>
      <c r="D143" s="1">
        <v>1.7</v>
      </c>
      <c r="E143" s="1">
        <v>61.0</v>
      </c>
      <c r="F143" s="8">
        <v>9.2</v>
      </c>
      <c r="G143" s="8">
        <v>5.7</v>
      </c>
      <c r="H143" s="1">
        <v>0.81</v>
      </c>
      <c r="I143" s="1">
        <v>10.675</v>
      </c>
      <c r="J143" s="1">
        <v>0.2</v>
      </c>
      <c r="K143" s="1">
        <v>1.1</v>
      </c>
      <c r="L143" s="1">
        <v>19.0</v>
      </c>
      <c r="M143" s="1">
        <v>1.73</v>
      </c>
      <c r="N143" s="1" t="s">
        <v>19</v>
      </c>
    </row>
    <row r="144">
      <c r="A144" s="1" t="s">
        <v>32</v>
      </c>
      <c r="B144" s="1" t="s">
        <v>45</v>
      </c>
      <c r="C144" s="1">
        <v>2024.0</v>
      </c>
      <c r="D144" s="1">
        <v>1.6</v>
      </c>
      <c r="E144" s="1">
        <v>62.0</v>
      </c>
      <c r="F144" s="9">
        <v>6.5</v>
      </c>
      <c r="G144" s="9">
        <v>4.9</v>
      </c>
      <c r="H144" s="1">
        <v>0.89</v>
      </c>
      <c r="I144" s="1">
        <v>10.797</v>
      </c>
      <c r="J144" s="1">
        <v>0.3</v>
      </c>
      <c r="K144" s="1">
        <v>1.6</v>
      </c>
      <c r="L144" s="1">
        <v>20.0</v>
      </c>
      <c r="M144" s="1">
        <v>1.7</v>
      </c>
      <c r="N144" s="1" t="s">
        <v>19</v>
      </c>
    </row>
    <row r="145">
      <c r="A145" s="1" t="s">
        <v>32</v>
      </c>
      <c r="B145" s="1" t="s">
        <v>46</v>
      </c>
      <c r="C145" s="1">
        <v>2014.0</v>
      </c>
      <c r="D145" s="1">
        <v>6.0</v>
      </c>
      <c r="E145" s="1">
        <v>62.0</v>
      </c>
      <c r="F145" s="4">
        <v>7.4</v>
      </c>
      <c r="G145" s="8">
        <v>6.6</v>
      </c>
      <c r="H145" s="1">
        <v>1.25</v>
      </c>
      <c r="I145" s="1">
        <v>10.679</v>
      </c>
      <c r="J145" s="1">
        <v>0.23</v>
      </c>
      <c r="K145" s="1">
        <v>4.45</v>
      </c>
      <c r="L145" s="1">
        <v>103.0</v>
      </c>
      <c r="M145" s="1">
        <v>4.8</v>
      </c>
      <c r="N145" s="1" t="s">
        <v>17</v>
      </c>
    </row>
    <row r="146">
      <c r="A146" s="1" t="s">
        <v>32</v>
      </c>
      <c r="B146" s="1" t="s">
        <v>46</v>
      </c>
      <c r="C146" s="1">
        <v>2015.0</v>
      </c>
      <c r="D146" s="1">
        <v>6.09</v>
      </c>
      <c r="E146" s="1">
        <v>62.0</v>
      </c>
      <c r="F146" s="4">
        <v>8.0</v>
      </c>
      <c r="G146" s="8">
        <v>4.9</v>
      </c>
      <c r="H146" s="1">
        <v>1.19</v>
      </c>
      <c r="I146" s="1">
        <v>10.697</v>
      </c>
      <c r="J146" s="1">
        <v>-0.11</v>
      </c>
      <c r="K146" s="1">
        <v>-2.02</v>
      </c>
      <c r="L146" s="1">
        <v>104.0</v>
      </c>
      <c r="M146" s="1">
        <v>6.0</v>
      </c>
      <c r="N146" s="1" t="s">
        <v>17</v>
      </c>
    </row>
    <row r="147">
      <c r="A147" s="1" t="s">
        <v>32</v>
      </c>
      <c r="B147" s="1" t="s">
        <v>46</v>
      </c>
      <c r="C147" s="1">
        <v>2016.0</v>
      </c>
      <c r="D147" s="1">
        <v>8.17</v>
      </c>
      <c r="E147" s="1">
        <v>60.0</v>
      </c>
      <c r="F147" s="4">
        <v>8.3</v>
      </c>
      <c r="G147" s="8">
        <v>4.9</v>
      </c>
      <c r="H147" s="1">
        <v>1.19</v>
      </c>
      <c r="I147" s="1">
        <v>10.724</v>
      </c>
      <c r="J147" s="1">
        <v>-0.71</v>
      </c>
      <c r="K147" s="1">
        <v>-13.8</v>
      </c>
      <c r="L147" s="1">
        <v>105.0</v>
      </c>
      <c r="M147" s="1">
        <v>6.09</v>
      </c>
      <c r="N147" s="1" t="s">
        <v>17</v>
      </c>
    </row>
    <row r="148">
      <c r="A148" s="1" t="s">
        <v>32</v>
      </c>
      <c r="B148" s="1" t="s">
        <v>46</v>
      </c>
      <c r="C148" s="1">
        <v>2017.0</v>
      </c>
      <c r="D148" s="1">
        <v>17.81</v>
      </c>
      <c r="E148" s="1">
        <v>60.0</v>
      </c>
      <c r="F148" s="4">
        <v>6.8</v>
      </c>
      <c r="G148" s="8">
        <v>3.3</v>
      </c>
      <c r="H148" s="1">
        <v>1.16</v>
      </c>
      <c r="I148" s="1">
        <v>10.759</v>
      </c>
      <c r="J148" s="1">
        <v>-1.67</v>
      </c>
      <c r="K148" s="1">
        <v>-35.89</v>
      </c>
      <c r="L148" s="1">
        <v>106.0</v>
      </c>
      <c r="M148" s="1">
        <v>8.17</v>
      </c>
      <c r="N148" s="1" t="s">
        <v>17</v>
      </c>
    </row>
    <row r="149">
      <c r="A149" s="1" t="s">
        <v>32</v>
      </c>
      <c r="B149" s="1" t="s">
        <v>46</v>
      </c>
      <c r="C149" s="1">
        <v>2018.0</v>
      </c>
      <c r="D149" s="1">
        <v>21.48</v>
      </c>
      <c r="E149" s="1">
        <v>59.0</v>
      </c>
      <c r="F149" s="4">
        <v>6.5</v>
      </c>
      <c r="G149" s="8">
        <v>3.9</v>
      </c>
      <c r="H149" s="1">
        <v>1.09</v>
      </c>
      <c r="I149" s="1">
        <v>10.849</v>
      </c>
      <c r="J149" s="1">
        <v>-2.33</v>
      </c>
      <c r="K149" s="1">
        <v>-51.53</v>
      </c>
      <c r="L149" s="1">
        <v>107.0</v>
      </c>
      <c r="M149" s="1">
        <v>17.81</v>
      </c>
      <c r="N149" s="1" t="s">
        <v>17</v>
      </c>
    </row>
    <row r="150">
      <c r="A150" s="1" t="s">
        <v>32</v>
      </c>
      <c r="B150" s="1" t="s">
        <v>46</v>
      </c>
      <c r="C150" s="1">
        <v>2019.0</v>
      </c>
      <c r="D150" s="1">
        <v>19.99</v>
      </c>
      <c r="E150" s="1">
        <v>59.0</v>
      </c>
      <c r="F150" s="4">
        <v>3.9</v>
      </c>
      <c r="G150" s="8">
        <v>3.7</v>
      </c>
      <c r="H150" s="1">
        <v>1.03</v>
      </c>
      <c r="I150" s="1">
        <v>10.79</v>
      </c>
      <c r="J150" s="1">
        <v>-1.97</v>
      </c>
      <c r="K150" s="1">
        <v>-41.92</v>
      </c>
      <c r="L150" s="1">
        <v>108.0</v>
      </c>
      <c r="M150" s="1">
        <v>21.48</v>
      </c>
      <c r="N150" s="1" t="s">
        <v>17</v>
      </c>
    </row>
    <row r="151">
      <c r="A151" s="1" t="s">
        <v>32</v>
      </c>
      <c r="B151" s="1" t="s">
        <v>46</v>
      </c>
      <c r="C151" s="1">
        <v>2020.0</v>
      </c>
      <c r="D151" s="1">
        <v>18.1</v>
      </c>
      <c r="E151" s="1">
        <v>60.0</v>
      </c>
      <c r="F151" s="4">
        <v>-5.8</v>
      </c>
      <c r="G151" s="8">
        <v>6.6</v>
      </c>
      <c r="H151" s="1">
        <v>0.96</v>
      </c>
      <c r="I151" s="1">
        <v>10.751</v>
      </c>
      <c r="J151" s="1">
        <v>-1.51</v>
      </c>
      <c r="K151" s="1">
        <v>-35.95</v>
      </c>
      <c r="L151" s="1">
        <v>109.0</v>
      </c>
      <c r="M151" s="1">
        <v>19.99</v>
      </c>
      <c r="N151" s="1" t="s">
        <v>17</v>
      </c>
    </row>
    <row r="152">
      <c r="A152" s="1" t="s">
        <v>32</v>
      </c>
      <c r="B152" s="1" t="s">
        <v>46</v>
      </c>
      <c r="C152" s="1">
        <v>2021.0</v>
      </c>
      <c r="D152" s="1">
        <v>16.55</v>
      </c>
      <c r="E152" s="1">
        <v>60.0</v>
      </c>
      <c r="F152" s="4">
        <v>9.7</v>
      </c>
      <c r="G152" s="8">
        <v>5.1</v>
      </c>
      <c r="H152" s="1">
        <v>0.8</v>
      </c>
      <c r="I152" s="1">
        <v>10.824</v>
      </c>
      <c r="J152" s="1">
        <v>-1.11</v>
      </c>
      <c r="K152" s="1">
        <v>-35.58</v>
      </c>
      <c r="L152" s="1">
        <v>110.0</v>
      </c>
      <c r="M152" s="1">
        <v>18.1</v>
      </c>
      <c r="N152" s="1" t="s">
        <v>17</v>
      </c>
    </row>
    <row r="153">
      <c r="A153" s="1" t="s">
        <v>32</v>
      </c>
      <c r="B153" s="1" t="s">
        <v>46</v>
      </c>
      <c r="C153" s="1">
        <v>2022.0</v>
      </c>
      <c r="D153" s="1">
        <v>14.84</v>
      </c>
      <c r="E153" s="1">
        <v>60.0</v>
      </c>
      <c r="F153" s="8">
        <v>7.6</v>
      </c>
      <c r="G153" s="8">
        <v>6.7</v>
      </c>
      <c r="H153" s="1">
        <v>0.68</v>
      </c>
      <c r="I153" s="1">
        <v>10.844</v>
      </c>
      <c r="J153" s="1">
        <v>-0.61</v>
      </c>
      <c r="K153" s="1">
        <v>-17.63</v>
      </c>
      <c r="L153" s="1">
        <v>111.0</v>
      </c>
      <c r="M153" s="1">
        <v>16.55</v>
      </c>
      <c r="N153" s="1" t="s">
        <v>17</v>
      </c>
    </row>
    <row r="154">
      <c r="A154" s="1" t="s">
        <v>32</v>
      </c>
      <c r="B154" s="1" t="s">
        <v>46</v>
      </c>
      <c r="C154" s="1">
        <v>2023.0</v>
      </c>
      <c r="D154" s="1">
        <v>8.44</v>
      </c>
      <c r="E154" s="1">
        <v>61.0</v>
      </c>
      <c r="F154" s="8">
        <v>9.2</v>
      </c>
      <c r="G154" s="8">
        <v>5.7</v>
      </c>
      <c r="H154" s="1">
        <v>0.81</v>
      </c>
      <c r="I154" s="1">
        <v>10.81</v>
      </c>
      <c r="J154" s="1">
        <v>0.25</v>
      </c>
      <c r="K154" s="1">
        <v>7.21</v>
      </c>
      <c r="L154" s="1">
        <v>112.0</v>
      </c>
      <c r="M154" s="1">
        <v>14.84</v>
      </c>
      <c r="N154" s="1" t="s">
        <v>17</v>
      </c>
    </row>
    <row r="155">
      <c r="A155" s="1" t="s">
        <v>32</v>
      </c>
      <c r="B155" s="1" t="s">
        <v>46</v>
      </c>
      <c r="C155" s="1">
        <v>2024.0</v>
      </c>
      <c r="D155" s="1">
        <v>4.5</v>
      </c>
      <c r="E155" s="1">
        <v>62.0</v>
      </c>
      <c r="F155" s="9">
        <v>6.5</v>
      </c>
      <c r="G155" s="9">
        <v>4.9</v>
      </c>
      <c r="H155" s="1">
        <v>0.89</v>
      </c>
      <c r="I155" s="1">
        <v>10.893</v>
      </c>
      <c r="J155" s="1">
        <v>0.41</v>
      </c>
      <c r="K155" s="1">
        <v>10.75</v>
      </c>
      <c r="L155" s="1">
        <v>113.0</v>
      </c>
      <c r="M155" s="1">
        <v>8.44</v>
      </c>
      <c r="N155" s="1" t="s">
        <v>17</v>
      </c>
    </row>
  </sheetData>
  <conditionalFormatting sqref="N1:N1134">
    <cfRule type="notContainsBlanks" dxfId="0" priority="1">
      <formula>LEN(TRIM(N1))&gt;0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8" max="8" width="14.13"/>
    <col customWidth="1" min="9" max="9" width="14.25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0" t="s">
        <v>47</v>
      </c>
      <c r="B2" s="10" t="s">
        <v>48</v>
      </c>
      <c r="C2" s="10">
        <v>2014.0</v>
      </c>
      <c r="D2" s="10">
        <v>3.8</v>
      </c>
      <c r="E2" s="10">
        <v>62.0</v>
      </c>
      <c r="F2" s="13">
        <v>6.377979</v>
      </c>
      <c r="G2" s="13">
        <v>3.179002</v>
      </c>
      <c r="H2" s="13">
        <v>0.933208</v>
      </c>
      <c r="I2" s="14">
        <f>LN(10180000000)</f>
        <v>23.04369085</v>
      </c>
      <c r="J2" s="10">
        <v>1.6</v>
      </c>
      <c r="K2" s="10">
        <v>20.5</v>
      </c>
      <c r="L2" s="10">
        <v>76.0</v>
      </c>
      <c r="M2" s="10">
        <v>3.9</v>
      </c>
      <c r="N2" s="10" t="s">
        <v>17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" t="s">
        <v>47</v>
      </c>
      <c r="B3" s="10" t="s">
        <v>48</v>
      </c>
      <c r="C3" s="10">
        <v>2015.0</v>
      </c>
      <c r="D3" s="10">
        <v>4.3</v>
      </c>
      <c r="E3" s="10">
        <v>63.0</v>
      </c>
      <c r="F3" s="13">
        <v>4.205955</v>
      </c>
      <c r="G3" s="13">
        <v>3.768368</v>
      </c>
      <c r="H3" s="13">
        <v>0.919811</v>
      </c>
      <c r="I3" s="15">
        <f>LN(10886184000)</f>
        <v>23.1107603</v>
      </c>
      <c r="J3" s="10">
        <v>1.7</v>
      </c>
      <c r="K3" s="10">
        <v>22.2</v>
      </c>
      <c r="L3" s="10">
        <v>77.0</v>
      </c>
      <c r="M3" s="10">
        <v>3.8</v>
      </c>
      <c r="N3" s="10" t="s">
        <v>17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0" t="s">
        <v>47</v>
      </c>
      <c r="B4" s="10" t="s">
        <v>48</v>
      </c>
      <c r="C4" s="10">
        <v>2016.0</v>
      </c>
      <c r="D4" s="10">
        <v>2.9</v>
      </c>
      <c r="E4" s="10">
        <v>64.0</v>
      </c>
      <c r="F4" s="13">
        <v>5.053625</v>
      </c>
      <c r="G4" s="13">
        <v>3.958888</v>
      </c>
      <c r="H4" s="13">
        <v>1.133277</v>
      </c>
      <c r="I4" s="16">
        <f>LN(11140000000)</f>
        <v>23.13380807</v>
      </c>
      <c r="J4" s="10">
        <v>1.9</v>
      </c>
      <c r="K4" s="10">
        <v>28.4</v>
      </c>
      <c r="L4" s="10">
        <v>78.0</v>
      </c>
      <c r="M4" s="10">
        <v>4.3</v>
      </c>
      <c r="N4" s="10" t="s">
        <v>17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0" t="s">
        <v>47</v>
      </c>
      <c r="B5" s="10" t="s">
        <v>48</v>
      </c>
      <c r="C5" s="10">
        <v>2017.0</v>
      </c>
      <c r="D5" s="10">
        <v>3.7</v>
      </c>
      <c r="E5" s="10">
        <v>62.0</v>
      </c>
      <c r="F5" s="13">
        <v>6.460681</v>
      </c>
      <c r="G5" s="13">
        <v>7.704138</v>
      </c>
      <c r="H5" s="13">
        <v>1.143888</v>
      </c>
      <c r="I5" s="17">
        <f>LN(12000000000)</f>
        <v>23.20817249</v>
      </c>
      <c r="J5" s="10">
        <v>1.5</v>
      </c>
      <c r="K5" s="10">
        <v>19.6</v>
      </c>
      <c r="L5" s="10">
        <v>79.0</v>
      </c>
      <c r="M5" s="10">
        <v>2.9</v>
      </c>
      <c r="N5" s="10" t="s">
        <v>17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 t="s">
        <v>47</v>
      </c>
      <c r="B6" s="10" t="s">
        <v>48</v>
      </c>
      <c r="C6" s="10">
        <v>2018.0</v>
      </c>
      <c r="D6" s="10">
        <v>4.7</v>
      </c>
      <c r="E6" s="10">
        <v>62.0</v>
      </c>
      <c r="F6" s="13">
        <v>2.310084</v>
      </c>
      <c r="G6" s="13">
        <v>2.135038</v>
      </c>
      <c r="H6" s="13">
        <v>1.006432</v>
      </c>
      <c r="I6" s="18">
        <f>LN(12120000000)</f>
        <v>23.21812282</v>
      </c>
      <c r="J6" s="10">
        <v>1.3</v>
      </c>
      <c r="K6" s="10">
        <v>16.8</v>
      </c>
      <c r="L6" s="10">
        <v>80.0</v>
      </c>
      <c r="M6" s="10">
        <v>3.7</v>
      </c>
      <c r="N6" s="10" t="s">
        <v>17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0" t="s">
        <v>47</v>
      </c>
      <c r="B7" s="10" t="s">
        <v>48</v>
      </c>
      <c r="C7" s="10">
        <v>2019.0</v>
      </c>
      <c r="D7" s="10">
        <v>4.8</v>
      </c>
      <c r="E7" s="10">
        <v>62.0</v>
      </c>
      <c r="F7" s="13">
        <v>-0.22048</v>
      </c>
      <c r="G7" s="13">
        <v>3.528394</v>
      </c>
      <c r="H7" s="13">
        <v>0.611876</v>
      </c>
      <c r="I7" s="17">
        <f>LN(13300000000)</f>
        <v>23.31102987</v>
      </c>
      <c r="J7" s="10">
        <v>1.3</v>
      </c>
      <c r="K7" s="10">
        <v>16.8</v>
      </c>
      <c r="L7" s="10">
        <v>81.0</v>
      </c>
      <c r="M7" s="10">
        <v>4.7</v>
      </c>
      <c r="N7" s="10" t="s">
        <v>17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47</v>
      </c>
      <c r="B8" s="10" t="s">
        <v>48</v>
      </c>
      <c r="C8" s="10">
        <v>2020.0</v>
      </c>
      <c r="D8" s="10">
        <v>5.2</v>
      </c>
      <c r="E8" s="10">
        <v>62.0</v>
      </c>
      <c r="F8" s="13">
        <v>-4.62452</v>
      </c>
      <c r="G8" s="13">
        <v>6.153945</v>
      </c>
      <c r="H8" s="13">
        <v>0.530627</v>
      </c>
      <c r="I8" s="17">
        <f>LN(16230000000)</f>
        <v>23.51012722</v>
      </c>
      <c r="J8" s="10">
        <v>0.9</v>
      </c>
      <c r="K8" s="10">
        <v>11.9</v>
      </c>
      <c r="L8" s="10">
        <v>82.0</v>
      </c>
      <c r="M8" s="10">
        <v>4.8</v>
      </c>
      <c r="N8" s="10" t="s">
        <v>17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47</v>
      </c>
      <c r="B9" s="10" t="s">
        <v>48</v>
      </c>
      <c r="C9" s="10">
        <v>2021.0</v>
      </c>
      <c r="D9" s="10">
        <v>4.4</v>
      </c>
      <c r="E9" s="10">
        <v>63.0</v>
      </c>
      <c r="F9" s="13">
        <v>4.207476</v>
      </c>
      <c r="G9" s="13">
        <v>7.014781</v>
      </c>
      <c r="H9" s="13">
        <v>1.07545</v>
      </c>
      <c r="I9" s="17">
        <f>ln(19200000000)</f>
        <v>23.67817612</v>
      </c>
      <c r="J9" s="10">
        <v>1.3</v>
      </c>
      <c r="K9" s="10">
        <v>21.0</v>
      </c>
      <c r="L9" s="10">
        <v>83.0</v>
      </c>
      <c r="M9" s="10">
        <v>5.2</v>
      </c>
      <c r="N9" s="10" t="s">
        <v>17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47</v>
      </c>
      <c r="B10" s="10" t="s">
        <v>48</v>
      </c>
      <c r="C10" s="10">
        <v>2022.0</v>
      </c>
      <c r="D10" s="10">
        <v>5.0</v>
      </c>
      <c r="E10" s="10">
        <v>64.0</v>
      </c>
      <c r="F10" s="13">
        <v>-7.34919</v>
      </c>
      <c r="G10" s="13">
        <v>49.7211</v>
      </c>
      <c r="H10" s="13">
        <v>0.112773</v>
      </c>
      <c r="I10" s="17">
        <f>LN(11195000000)</f>
        <v>23.13873309</v>
      </c>
      <c r="J10" s="10">
        <v>1.1</v>
      </c>
      <c r="K10" s="10">
        <v>19.5</v>
      </c>
      <c r="L10" s="10">
        <v>84.0</v>
      </c>
      <c r="M10" s="10">
        <v>4.4</v>
      </c>
      <c r="N10" s="10" t="s">
        <v>17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47</v>
      </c>
      <c r="B11" s="10" t="s">
        <v>48</v>
      </c>
      <c r="C11" s="10">
        <v>2023.0</v>
      </c>
      <c r="D11" s="10">
        <v>6.2</v>
      </c>
      <c r="E11" s="10">
        <v>66.0</v>
      </c>
      <c r="F11" s="13">
        <v>-2.32985</v>
      </c>
      <c r="G11" s="13">
        <v>16.54117</v>
      </c>
      <c r="H11" s="13">
        <v>-0.65132</v>
      </c>
      <c r="I11" s="17">
        <f>LN(14120000000)</f>
        <v>23.37085807</v>
      </c>
      <c r="J11" s="10">
        <v>1.6</v>
      </c>
      <c r="K11" s="10">
        <v>28.1</v>
      </c>
      <c r="L11" s="10">
        <v>85.0</v>
      </c>
      <c r="M11" s="10">
        <v>5.0</v>
      </c>
      <c r="N11" s="10" t="s">
        <v>17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47</v>
      </c>
      <c r="B12" s="10" t="s">
        <v>48</v>
      </c>
      <c r="C12" s="10">
        <v>2024.0</v>
      </c>
      <c r="D12" s="10">
        <v>7.2</v>
      </c>
      <c r="E12" s="10">
        <v>68.0</v>
      </c>
      <c r="F12" s="13">
        <v>5.008719</v>
      </c>
      <c r="G12" s="13">
        <v>-0.42936</v>
      </c>
      <c r="H12" s="13">
        <v>-0.55059</v>
      </c>
      <c r="I12" s="17">
        <f>ln(17040000000)</f>
        <v>23.55882936</v>
      </c>
      <c r="J12" s="10">
        <v>2.3</v>
      </c>
      <c r="K12" s="10">
        <v>23.2</v>
      </c>
      <c r="L12" s="10">
        <v>86.0</v>
      </c>
      <c r="M12" s="10">
        <v>6.2</v>
      </c>
      <c r="N12" s="10" t="s">
        <v>17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47</v>
      </c>
      <c r="B13" s="10" t="s">
        <v>49</v>
      </c>
      <c r="C13" s="10">
        <v>2014.0</v>
      </c>
      <c r="D13" s="10">
        <v>3.6</v>
      </c>
      <c r="E13" s="10">
        <v>62.0</v>
      </c>
      <c r="F13" s="13">
        <v>6.377979</v>
      </c>
      <c r="G13" s="13">
        <v>3.179002</v>
      </c>
      <c r="H13" s="13">
        <v>0.933208</v>
      </c>
      <c r="I13" s="17">
        <f>ln(        4400000000)</f>
        <v>22.20487038</v>
      </c>
      <c r="J13" s="10">
        <v>1.7</v>
      </c>
      <c r="K13" s="10">
        <v>16.0</v>
      </c>
      <c r="L13" s="10">
        <v>126.0</v>
      </c>
      <c r="M13" s="10">
        <v>4.4</v>
      </c>
      <c r="N13" s="10" t="s">
        <v>50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47</v>
      </c>
      <c r="B14" s="10" t="s">
        <v>49</v>
      </c>
      <c r="C14" s="10">
        <v>2015.0</v>
      </c>
      <c r="D14" s="10">
        <v>2.4</v>
      </c>
      <c r="E14" s="10">
        <v>63.0</v>
      </c>
      <c r="F14" s="13">
        <v>4.205955</v>
      </c>
      <c r="G14" s="13">
        <v>3.768368</v>
      </c>
      <c r="H14" s="13">
        <v>0.919811</v>
      </c>
      <c r="I14" s="17">
        <f>ln(4680000000)</f>
        <v>22.26656395</v>
      </c>
      <c r="J14" s="10">
        <v>1.6</v>
      </c>
      <c r="K14" s="10">
        <v>15.1</v>
      </c>
      <c r="L14" s="10">
        <v>127.0</v>
      </c>
      <c r="M14" s="10">
        <v>3.6</v>
      </c>
      <c r="N14" s="10" t="s">
        <v>50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 t="s">
        <v>47</v>
      </c>
      <c r="B15" s="10" t="s">
        <v>49</v>
      </c>
      <c r="C15" s="10">
        <v>2016.0</v>
      </c>
      <c r="D15" s="10">
        <v>1.8</v>
      </c>
      <c r="E15" s="10">
        <v>64.0</v>
      </c>
      <c r="F15" s="13">
        <v>5.053625</v>
      </c>
      <c r="G15" s="13">
        <v>3.958888</v>
      </c>
      <c r="H15" s="13">
        <v>1.133277</v>
      </c>
      <c r="I15" s="17">
        <f>ln(5090000000)</f>
        <v>22.35054367</v>
      </c>
      <c r="J15" s="10">
        <v>1.6</v>
      </c>
      <c r="K15" s="10">
        <v>15.2</v>
      </c>
      <c r="L15" s="10">
        <v>128.0</v>
      </c>
      <c r="M15" s="10">
        <v>2.4</v>
      </c>
      <c r="N15" s="10" t="s">
        <v>50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 t="s">
        <v>47</v>
      </c>
      <c r="B16" s="10" t="s">
        <v>49</v>
      </c>
      <c r="C16" s="10">
        <v>2017.0</v>
      </c>
      <c r="D16" s="10">
        <v>1.9</v>
      </c>
      <c r="E16" s="10">
        <v>62.0</v>
      </c>
      <c r="F16" s="13">
        <v>6.460681</v>
      </c>
      <c r="G16" s="13">
        <v>7.704138</v>
      </c>
      <c r="H16" s="13">
        <v>1.143888</v>
      </c>
      <c r="I16" s="17">
        <f>ln(6250000000)</f>
        <v>22.5558473</v>
      </c>
      <c r="J16" s="10">
        <v>1.7</v>
      </c>
      <c r="K16" s="10">
        <v>15.8</v>
      </c>
      <c r="L16" s="10">
        <v>129.0</v>
      </c>
      <c r="M16" s="10">
        <v>1.8</v>
      </c>
      <c r="N16" s="10" t="s">
        <v>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47</v>
      </c>
      <c r="B17" s="10" t="s">
        <v>49</v>
      </c>
      <c r="C17" s="10">
        <v>2018.0</v>
      </c>
      <c r="D17" s="10">
        <v>3.6</v>
      </c>
      <c r="E17" s="10">
        <v>62.0</v>
      </c>
      <c r="F17" s="13">
        <v>2.310084</v>
      </c>
      <c r="G17" s="13">
        <v>2.135038</v>
      </c>
      <c r="H17" s="13">
        <v>1.006432</v>
      </c>
      <c r="I17" s="17">
        <f>ln(5940000000)</f>
        <v>22.50497497</v>
      </c>
      <c r="J17" s="10">
        <v>1.8</v>
      </c>
      <c r="K17" s="10">
        <v>14.0</v>
      </c>
      <c r="L17" s="10">
        <v>126.0</v>
      </c>
      <c r="M17" s="10">
        <v>1.9</v>
      </c>
      <c r="N17" s="10" t="s">
        <v>50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47</v>
      </c>
      <c r="B18" s="10" t="s">
        <v>49</v>
      </c>
      <c r="C18" s="10">
        <v>2019.0</v>
      </c>
      <c r="D18" s="10">
        <v>4.3</v>
      </c>
      <c r="E18" s="10">
        <v>62.0</v>
      </c>
      <c r="F18" s="13">
        <v>-0.22048</v>
      </c>
      <c r="G18" s="13">
        <v>3.528394</v>
      </c>
      <c r="H18" s="13">
        <v>0.611876</v>
      </c>
      <c r="I18" s="17">
        <f>ln(6640000000)</f>
        <v>22.6163778</v>
      </c>
      <c r="J18" s="10">
        <v>1.27</v>
      </c>
      <c r="K18" s="10">
        <v>11.54</v>
      </c>
      <c r="L18" s="10">
        <v>127.0</v>
      </c>
      <c r="M18" s="10">
        <v>3.6</v>
      </c>
      <c r="N18" s="10" t="s">
        <v>50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 t="s">
        <v>47</v>
      </c>
      <c r="B19" s="10" t="s">
        <v>49</v>
      </c>
      <c r="C19" s="10">
        <v>2020.0</v>
      </c>
      <c r="D19" s="10">
        <v>4.3</v>
      </c>
      <c r="E19" s="10">
        <v>62.0</v>
      </c>
      <c r="F19" s="13">
        <v>-4.62452</v>
      </c>
      <c r="G19" s="13">
        <v>6.153945</v>
      </c>
      <c r="H19" s="13">
        <v>0.530627</v>
      </c>
      <c r="I19" s="17">
        <f>ln(6870000000)</f>
        <v>22.65042994</v>
      </c>
      <c r="J19" s="10">
        <v>1.24</v>
      </c>
      <c r="K19" s="10">
        <v>8.68</v>
      </c>
      <c r="L19" s="10">
        <v>128.0</v>
      </c>
      <c r="M19" s="10">
        <v>4.3</v>
      </c>
      <c r="N19" s="10" t="s">
        <v>50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 t="s">
        <v>47</v>
      </c>
      <c r="B20" s="10" t="s">
        <v>49</v>
      </c>
      <c r="C20" s="10">
        <v>2021.0</v>
      </c>
      <c r="D20" s="10">
        <v>3.38</v>
      </c>
      <c r="E20" s="10">
        <v>63.0</v>
      </c>
      <c r="F20" s="13">
        <v>4.207476</v>
      </c>
      <c r="G20" s="13">
        <v>7.014781</v>
      </c>
      <c r="H20" s="13">
        <v>1.07545</v>
      </c>
      <c r="I20" s="17">
        <f>ln(7310000000)</f>
        <v>22.71250911</v>
      </c>
      <c r="J20" s="10">
        <v>1.48</v>
      </c>
      <c r="K20" s="10">
        <v>12.09</v>
      </c>
      <c r="L20" s="10">
        <v>129.0</v>
      </c>
      <c r="M20" s="10">
        <v>4.3</v>
      </c>
      <c r="N20" s="10" t="s">
        <v>50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 t="s">
        <v>47</v>
      </c>
      <c r="B21" s="10" t="s">
        <v>49</v>
      </c>
      <c r="C21" s="10">
        <v>2022.0</v>
      </c>
      <c r="D21" s="10">
        <v>4.25</v>
      </c>
      <c r="E21" s="10">
        <v>64.0</v>
      </c>
      <c r="F21" s="13">
        <v>-7.34919</v>
      </c>
      <c r="G21" s="13">
        <v>49.7211</v>
      </c>
      <c r="H21" s="13">
        <v>0.112773</v>
      </c>
      <c r="I21" s="17">
        <f>ln(6030000000)</f>
        <v>22.52001285</v>
      </c>
      <c r="J21" s="10">
        <v>0.75</v>
      </c>
      <c r="K21" s="10">
        <v>9.14</v>
      </c>
      <c r="L21" s="10">
        <v>126.0</v>
      </c>
      <c r="M21" s="10">
        <v>3.38</v>
      </c>
      <c r="N21" s="10" t="s">
        <v>50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 t="s">
        <v>47</v>
      </c>
      <c r="B22" s="10" t="s">
        <v>49</v>
      </c>
      <c r="C22" s="10">
        <v>2023.0</v>
      </c>
      <c r="D22" s="10">
        <v>5.27</v>
      </c>
      <c r="E22" s="10">
        <v>66.0</v>
      </c>
      <c r="F22" s="13">
        <v>-2.32985</v>
      </c>
      <c r="G22" s="13">
        <v>16.54117</v>
      </c>
      <c r="H22" s="13">
        <v>-0.65132</v>
      </c>
      <c r="I22" s="17">
        <f>ln(8130000000)</f>
        <v>22.81882676</v>
      </c>
      <c r="J22" s="10">
        <v>1.47</v>
      </c>
      <c r="K22" s="10">
        <v>17.4</v>
      </c>
      <c r="L22" s="10">
        <v>127.0</v>
      </c>
      <c r="M22" s="10">
        <v>4.25</v>
      </c>
      <c r="N22" s="10" t="s">
        <v>50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 t="s">
        <v>47</v>
      </c>
      <c r="B23" s="10" t="s">
        <v>49</v>
      </c>
      <c r="C23" s="10">
        <v>2024.0</v>
      </c>
      <c r="D23" s="10">
        <v>5.1</v>
      </c>
      <c r="E23" s="10">
        <v>68.0</v>
      </c>
      <c r="F23" s="13">
        <v>5.008719</v>
      </c>
      <c r="G23" s="13">
        <v>-0.42936</v>
      </c>
      <c r="H23" s="13">
        <v>-0.55059</v>
      </c>
      <c r="I23" s="17">
        <f>ln(9230000000)</f>
        <v>22.94572489</v>
      </c>
      <c r="J23" s="10">
        <v>1.58</v>
      </c>
      <c r="K23" s="10">
        <v>18.44</v>
      </c>
      <c r="L23" s="10">
        <v>128.0</v>
      </c>
      <c r="M23" s="10">
        <v>5.27</v>
      </c>
      <c r="N23" s="10" t="s">
        <v>50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" t="s">
        <v>47</v>
      </c>
      <c r="B24" s="10" t="s">
        <v>51</v>
      </c>
      <c r="C24" s="10">
        <v>2014.0</v>
      </c>
      <c r="D24" s="10">
        <v>4.1</v>
      </c>
      <c r="E24" s="10">
        <v>62.0</v>
      </c>
      <c r="F24" s="13">
        <v>6.377979</v>
      </c>
      <c r="G24" s="13">
        <v>3.179002</v>
      </c>
      <c r="H24" s="13">
        <v>0.933208</v>
      </c>
      <c r="I24" s="17">
        <f>ln(1220000000)</f>
        <v>20.9221167</v>
      </c>
      <c r="J24" s="10">
        <v>1.68</v>
      </c>
      <c r="K24" s="10">
        <v>19.8</v>
      </c>
      <c r="L24" s="10">
        <v>15.0</v>
      </c>
      <c r="M24" s="10">
        <v>4.9</v>
      </c>
      <c r="N24" s="10" t="s">
        <v>17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 t="s">
        <v>47</v>
      </c>
      <c r="B25" s="10" t="s">
        <v>51</v>
      </c>
      <c r="C25" s="10">
        <v>2015.0</v>
      </c>
      <c r="D25" s="10">
        <v>2.77</v>
      </c>
      <c r="E25" s="10">
        <v>63.0</v>
      </c>
      <c r="F25" s="13">
        <v>4.205955</v>
      </c>
      <c r="G25" s="13">
        <v>3.768368</v>
      </c>
      <c r="H25" s="13">
        <v>0.919811</v>
      </c>
      <c r="I25" s="17">
        <f>ln( 1300000000)</f>
        <v>20.9856301</v>
      </c>
      <c r="J25" s="10">
        <v>1.56</v>
      </c>
      <c r="K25" s="10">
        <v>18.0</v>
      </c>
      <c r="L25" s="10">
        <v>16.0</v>
      </c>
      <c r="M25" s="10">
        <v>4.1</v>
      </c>
      <c r="N25" s="10" t="s">
        <v>17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 t="s">
        <v>47</v>
      </c>
      <c r="B26" s="10" t="s">
        <v>51</v>
      </c>
      <c r="C26" s="10">
        <v>2016.0</v>
      </c>
      <c r="D26" s="10">
        <v>2.41</v>
      </c>
      <c r="E26" s="10">
        <v>64.0</v>
      </c>
      <c r="F26" s="13">
        <v>5.053625</v>
      </c>
      <c r="G26" s="13">
        <v>3.958888</v>
      </c>
      <c r="H26" s="13">
        <v>1.133277</v>
      </c>
      <c r="I26" s="17">
        <f>ln(1460000000)</f>
        <v>21.10170227</v>
      </c>
      <c r="J26" s="10">
        <v>1.48</v>
      </c>
      <c r="K26" s="10">
        <v>17.7</v>
      </c>
      <c r="L26" s="10">
        <v>17.0</v>
      </c>
      <c r="M26" s="10">
        <v>2.77</v>
      </c>
      <c r="N26" s="10" t="s">
        <v>17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 t="s">
        <v>47</v>
      </c>
      <c r="B27" s="10" t="s">
        <v>51</v>
      </c>
      <c r="C27" s="10">
        <v>2017.0</v>
      </c>
      <c r="D27" s="10">
        <v>2.29</v>
      </c>
      <c r="E27" s="10">
        <v>62.0</v>
      </c>
      <c r="F27" s="13">
        <v>6.460681</v>
      </c>
      <c r="G27" s="13">
        <v>7.704138</v>
      </c>
      <c r="H27" s="13">
        <v>1.143888</v>
      </c>
      <c r="I27" s="17">
        <f t="shared" ref="I27:I28" si="1">ln(1760000000)</f>
        <v>21.28857965</v>
      </c>
      <c r="J27" s="10">
        <v>1.41</v>
      </c>
      <c r="K27" s="10">
        <v>17.38</v>
      </c>
      <c r="L27" s="10">
        <v>18.0</v>
      </c>
      <c r="M27" s="10">
        <v>2.41</v>
      </c>
      <c r="N27" s="10" t="s">
        <v>17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 t="s">
        <v>47</v>
      </c>
      <c r="B28" s="10" t="s">
        <v>51</v>
      </c>
      <c r="C28" s="10">
        <v>2018.0</v>
      </c>
      <c r="D28" s="10">
        <v>4.58</v>
      </c>
      <c r="E28" s="10">
        <v>62.0</v>
      </c>
      <c r="F28" s="13">
        <v>2.310084</v>
      </c>
      <c r="G28" s="13">
        <v>2.135038</v>
      </c>
      <c r="H28" s="13">
        <v>1.006432</v>
      </c>
      <c r="I28" s="17">
        <f t="shared" si="1"/>
        <v>21.28857965</v>
      </c>
      <c r="J28" s="10">
        <v>1.25</v>
      </c>
      <c r="K28" s="10">
        <v>15.26</v>
      </c>
      <c r="L28" s="10">
        <v>19.0</v>
      </c>
      <c r="M28" s="10">
        <v>2.29</v>
      </c>
      <c r="N28" s="10" t="s">
        <v>17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0" t="s">
        <v>47</v>
      </c>
      <c r="B29" s="10" t="s">
        <v>51</v>
      </c>
      <c r="C29" s="10">
        <v>2019.0</v>
      </c>
      <c r="D29" s="10">
        <v>6.2</v>
      </c>
      <c r="E29" s="10">
        <v>62.0</v>
      </c>
      <c r="F29" s="13">
        <v>-0.22048</v>
      </c>
      <c r="G29" s="13">
        <v>3.528394</v>
      </c>
      <c r="H29" s="13">
        <v>0.611876</v>
      </c>
      <c r="I29" s="17">
        <f>ln(2100000000)</f>
        <v>21.46520318</v>
      </c>
      <c r="J29" s="10">
        <v>1.22</v>
      </c>
      <c r="K29" s="10">
        <v>14.76</v>
      </c>
      <c r="L29" s="10">
        <v>20.0</v>
      </c>
      <c r="M29" s="10">
        <v>4.58</v>
      </c>
      <c r="N29" s="10" t="s">
        <v>17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0" t="s">
        <v>47</v>
      </c>
      <c r="B30" s="10" t="s">
        <v>51</v>
      </c>
      <c r="C30" s="10">
        <v>2020.0</v>
      </c>
      <c r="D30" s="10">
        <v>5.35</v>
      </c>
      <c r="E30" s="10">
        <v>62.0</v>
      </c>
      <c r="F30" s="13">
        <v>-4.62452</v>
      </c>
      <c r="G30" s="13">
        <v>6.153945</v>
      </c>
      <c r="H30" s="13">
        <v>0.530627</v>
      </c>
      <c r="I30" s="17">
        <f>ln(1910000000)</f>
        <v>21.37036908</v>
      </c>
      <c r="J30" s="10">
        <v>1.57</v>
      </c>
      <c r="K30" s="10">
        <v>16.97</v>
      </c>
      <c r="L30" s="10">
        <v>21.0</v>
      </c>
      <c r="M30" s="10">
        <v>6.2</v>
      </c>
      <c r="N30" s="10" t="s">
        <v>17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0" t="s">
        <v>47</v>
      </c>
      <c r="B31" s="10" t="s">
        <v>51</v>
      </c>
      <c r="C31" s="10">
        <v>2021.0</v>
      </c>
      <c r="D31" s="10">
        <v>4.9</v>
      </c>
      <c r="E31" s="10">
        <v>63.0</v>
      </c>
      <c r="F31" s="13">
        <v>4.207476</v>
      </c>
      <c r="G31" s="13">
        <v>7.014781</v>
      </c>
      <c r="H31" s="13">
        <v>1.07545</v>
      </c>
      <c r="I31" s="17">
        <f t="shared" ref="I31:I32" si="2">ln(1900000000)</f>
        <v>21.36511972</v>
      </c>
      <c r="J31" s="10">
        <v>1.8</v>
      </c>
      <c r="K31" s="10">
        <v>17.9</v>
      </c>
      <c r="L31" s="10">
        <v>22.0</v>
      </c>
      <c r="M31" s="10">
        <v>5.35</v>
      </c>
      <c r="N31" s="10" t="s">
        <v>17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0" t="s">
        <v>47</v>
      </c>
      <c r="B32" s="10" t="s">
        <v>51</v>
      </c>
      <c r="C32" s="10">
        <v>2022.0</v>
      </c>
      <c r="D32" s="10">
        <v>6.11</v>
      </c>
      <c r="E32" s="10">
        <v>64.0</v>
      </c>
      <c r="F32" s="13">
        <v>-7.34919</v>
      </c>
      <c r="G32" s="13">
        <v>49.7211</v>
      </c>
      <c r="H32" s="13">
        <v>0.112773</v>
      </c>
      <c r="I32" s="17">
        <f t="shared" si="2"/>
        <v>21.36511972</v>
      </c>
      <c r="J32" s="10">
        <v>1.4</v>
      </c>
      <c r="K32" s="10">
        <v>15.2</v>
      </c>
      <c r="L32" s="10">
        <v>23.0</v>
      </c>
      <c r="M32" s="10">
        <v>4.9</v>
      </c>
      <c r="N32" s="10" t="s">
        <v>17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0" t="s">
        <v>47</v>
      </c>
      <c r="B33" s="10" t="s">
        <v>51</v>
      </c>
      <c r="C33" s="10">
        <v>2023.0</v>
      </c>
      <c r="D33" s="10">
        <v>6.27</v>
      </c>
      <c r="E33" s="10">
        <v>66.0</v>
      </c>
      <c r="F33" s="13">
        <v>-2.32985</v>
      </c>
      <c r="G33" s="13">
        <v>16.54117</v>
      </c>
      <c r="H33" s="13">
        <v>-0.65132</v>
      </c>
      <c r="I33" s="17">
        <f>ln(1400000000)</f>
        <v>21.05973807</v>
      </c>
      <c r="J33" s="10">
        <v>1.7</v>
      </c>
      <c r="K33" s="10">
        <v>21.2</v>
      </c>
      <c r="L33" s="10">
        <v>24.0</v>
      </c>
      <c r="M33" s="10">
        <v>6.11</v>
      </c>
      <c r="N33" s="10" t="s">
        <v>17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0" t="s">
        <v>47</v>
      </c>
      <c r="B34" s="10" t="s">
        <v>51</v>
      </c>
      <c r="C34" s="10">
        <v>2024.0</v>
      </c>
      <c r="D34" s="10">
        <v>3.3</v>
      </c>
      <c r="E34" s="10">
        <v>68.0</v>
      </c>
      <c r="F34" s="13">
        <v>5.008719</v>
      </c>
      <c r="G34" s="13">
        <v>-0.42936</v>
      </c>
      <c r="H34" s="13">
        <v>-0.55059</v>
      </c>
      <c r="I34" s="17">
        <f>ln(1700000000)</f>
        <v>21.25389409</v>
      </c>
      <c r="J34" s="10">
        <v>1.6</v>
      </c>
      <c r="K34" s="10">
        <v>24.12</v>
      </c>
      <c r="L34" s="10">
        <v>25.0</v>
      </c>
      <c r="M34" s="10">
        <v>6.27</v>
      </c>
      <c r="N34" s="10" t="s">
        <v>17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0" t="s">
        <v>47</v>
      </c>
      <c r="B35" s="1" t="s">
        <v>52</v>
      </c>
      <c r="C35" s="10">
        <v>2014.0</v>
      </c>
      <c r="D35" s="1">
        <v>4.7</v>
      </c>
      <c r="E35" s="10">
        <v>62.0</v>
      </c>
      <c r="F35" s="13">
        <v>6.377979</v>
      </c>
      <c r="G35" s="13">
        <v>3.179002</v>
      </c>
      <c r="H35" s="13">
        <v>0.933208</v>
      </c>
      <c r="I35" s="17">
        <f>ln(10180000000)</f>
        <v>23.04369085</v>
      </c>
      <c r="J35" s="1">
        <v>1.6</v>
      </c>
      <c r="K35" s="10">
        <v>20.5</v>
      </c>
      <c r="L35" s="10">
        <v>59.0</v>
      </c>
      <c r="M35" s="10">
        <v>7.0</v>
      </c>
      <c r="N35" s="10" t="s">
        <v>17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0" t="s">
        <v>47</v>
      </c>
      <c r="B36" s="1" t="s">
        <v>52</v>
      </c>
      <c r="C36" s="10">
        <v>2015.0</v>
      </c>
      <c r="D36" s="1">
        <v>5.0</v>
      </c>
      <c r="E36" s="10">
        <v>63.0</v>
      </c>
      <c r="F36" s="13">
        <v>4.205955</v>
      </c>
      <c r="G36" s="13">
        <v>3.768368</v>
      </c>
      <c r="H36" s="13">
        <v>0.919811</v>
      </c>
      <c r="I36" s="17">
        <f>ln(10890000000)</f>
        <v>23.11111077</v>
      </c>
      <c r="J36" s="1">
        <v>1.7</v>
      </c>
      <c r="K36" s="10">
        <v>22.2</v>
      </c>
      <c r="L36" s="10">
        <v>60.0</v>
      </c>
      <c r="M36" s="1">
        <v>4.7</v>
      </c>
      <c r="N36" s="10" t="s">
        <v>17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0" t="s">
        <v>47</v>
      </c>
      <c r="B37" s="1" t="s">
        <v>52</v>
      </c>
      <c r="C37" s="10">
        <v>2016.0</v>
      </c>
      <c r="D37" s="10">
        <v>4.1</v>
      </c>
      <c r="E37" s="10">
        <v>64.0</v>
      </c>
      <c r="F37" s="13">
        <v>5.053625</v>
      </c>
      <c r="G37" s="13">
        <v>3.958888</v>
      </c>
      <c r="H37" s="13">
        <v>1.133277</v>
      </c>
      <c r="I37" s="17">
        <f>ln( 2720000000)</f>
        <v>21.72389772</v>
      </c>
      <c r="J37" s="10">
        <v>1.9</v>
      </c>
      <c r="K37" s="10">
        <v>15.0</v>
      </c>
      <c r="L37" s="10">
        <v>61.0</v>
      </c>
      <c r="M37" s="1">
        <v>5.0</v>
      </c>
      <c r="N37" s="10" t="s">
        <v>17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0" t="s">
        <v>47</v>
      </c>
      <c r="B38" s="1" t="s">
        <v>52</v>
      </c>
      <c r="C38" s="10">
        <v>2017.0</v>
      </c>
      <c r="D38" s="10">
        <v>3.13</v>
      </c>
      <c r="E38" s="10">
        <v>62.0</v>
      </c>
      <c r="F38" s="13">
        <v>6.460681</v>
      </c>
      <c r="G38" s="13">
        <v>7.704138</v>
      </c>
      <c r="H38" s="13">
        <v>1.143888</v>
      </c>
      <c r="I38" s="17">
        <f>ln(2110000000)</f>
        <v>21.46995378</v>
      </c>
      <c r="J38" s="10">
        <v>1.4</v>
      </c>
      <c r="K38" s="10">
        <v>10.9</v>
      </c>
      <c r="L38" s="10">
        <v>62.0</v>
      </c>
      <c r="M38" s="10">
        <v>4.1</v>
      </c>
      <c r="N38" s="10" t="s">
        <v>17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0" t="s">
        <v>47</v>
      </c>
      <c r="B39" s="1" t="s">
        <v>52</v>
      </c>
      <c r="C39" s="10">
        <v>2018.0</v>
      </c>
      <c r="D39" s="10">
        <v>3.26</v>
      </c>
      <c r="E39" s="10">
        <v>62.0</v>
      </c>
      <c r="F39" s="13">
        <v>2.310084</v>
      </c>
      <c r="G39" s="13">
        <v>2.135038</v>
      </c>
      <c r="H39" s="13">
        <v>1.006432</v>
      </c>
      <c r="I39" s="17">
        <f>ln(1960000000)</f>
        <v>21.39621031</v>
      </c>
      <c r="J39" s="10">
        <v>0.8</v>
      </c>
      <c r="K39" s="10">
        <v>6.6</v>
      </c>
      <c r="L39" s="10">
        <v>63.0</v>
      </c>
      <c r="M39" s="10">
        <v>3.13</v>
      </c>
      <c r="N39" s="10" t="s">
        <v>17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0" t="s">
        <v>47</v>
      </c>
      <c r="B40" s="1" t="s">
        <v>52</v>
      </c>
      <c r="C40" s="10">
        <v>2019.0</v>
      </c>
      <c r="D40" s="10">
        <v>5.21</v>
      </c>
      <c r="E40" s="10">
        <v>62.0</v>
      </c>
      <c r="F40" s="13">
        <v>-0.22048</v>
      </c>
      <c r="G40" s="13">
        <v>3.528394</v>
      </c>
      <c r="H40" s="13">
        <v>0.611876</v>
      </c>
      <c r="I40" s="17">
        <f>ln(2120000000)</f>
        <v>21.47468193</v>
      </c>
      <c r="J40" s="10">
        <v>1.0</v>
      </c>
      <c r="K40" s="10">
        <v>8.0</v>
      </c>
      <c r="L40" s="10">
        <v>64.0</v>
      </c>
      <c r="M40" s="10">
        <v>3.26</v>
      </c>
      <c r="N40" s="10" t="s">
        <v>17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0" t="s">
        <v>47</v>
      </c>
      <c r="B41" s="1" t="s">
        <v>52</v>
      </c>
      <c r="C41" s="10">
        <v>2020.0</v>
      </c>
      <c r="D41" s="10">
        <v>5.86</v>
      </c>
      <c r="E41" s="10">
        <v>62.0</v>
      </c>
      <c r="F41" s="13">
        <v>-4.62452</v>
      </c>
      <c r="G41" s="13">
        <v>6.153945</v>
      </c>
      <c r="H41" s="13">
        <v>0.530627</v>
      </c>
      <c r="I41" s="17">
        <f>ln(2340000000)</f>
        <v>21.57341677</v>
      </c>
      <c r="J41" s="10">
        <v>0.5</v>
      </c>
      <c r="K41" s="10">
        <v>8.11</v>
      </c>
      <c r="L41" s="10">
        <v>65.0</v>
      </c>
      <c r="M41" s="10">
        <v>5.21</v>
      </c>
      <c r="N41" s="10" t="s">
        <v>17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0" t="s">
        <v>47</v>
      </c>
      <c r="B42" s="1" t="s">
        <v>52</v>
      </c>
      <c r="C42" s="10">
        <v>2021.0</v>
      </c>
      <c r="D42" s="10">
        <v>5.83</v>
      </c>
      <c r="E42" s="10">
        <v>63.0</v>
      </c>
      <c r="F42" s="13">
        <v>4.207476</v>
      </c>
      <c r="G42" s="13">
        <v>7.014781</v>
      </c>
      <c r="H42" s="13">
        <v>1.07545</v>
      </c>
      <c r="I42" s="17">
        <f>ln(2400000000)</f>
        <v>21.59873457</v>
      </c>
      <c r="J42" s="10">
        <v>0.8</v>
      </c>
      <c r="K42" s="10">
        <v>7.2</v>
      </c>
      <c r="L42" s="10">
        <v>66.0</v>
      </c>
      <c r="M42" s="10">
        <v>5.86</v>
      </c>
      <c r="N42" s="10" t="s">
        <v>17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0" t="s">
        <v>47</v>
      </c>
      <c r="B43" s="1" t="s">
        <v>52</v>
      </c>
      <c r="C43" s="10">
        <v>2022.0</v>
      </c>
      <c r="D43" s="10">
        <v>6.72</v>
      </c>
      <c r="E43" s="10">
        <v>64.0</v>
      </c>
      <c r="F43" s="13">
        <v>-7.34919</v>
      </c>
      <c r="G43" s="13">
        <v>49.7211</v>
      </c>
      <c r="H43" s="13">
        <v>0.112773</v>
      </c>
      <c r="I43" s="17">
        <f>ln(1520000000)</f>
        <v>21.14197617</v>
      </c>
      <c r="J43" s="10">
        <v>0.6</v>
      </c>
      <c r="K43" s="10">
        <v>5.5</v>
      </c>
      <c r="L43" s="10">
        <v>67.0</v>
      </c>
      <c r="M43" s="10">
        <v>5.83</v>
      </c>
      <c r="N43" s="10" t="s">
        <v>17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0" t="s">
        <v>47</v>
      </c>
      <c r="B44" s="1" t="s">
        <v>52</v>
      </c>
      <c r="C44" s="10">
        <v>2023.0</v>
      </c>
      <c r="D44" s="10">
        <v>15.22</v>
      </c>
      <c r="E44" s="10">
        <v>66.0</v>
      </c>
      <c r="F44" s="13">
        <v>-2.32985</v>
      </c>
      <c r="G44" s="13">
        <v>16.54117</v>
      </c>
      <c r="H44" s="13">
        <v>-0.65132</v>
      </c>
      <c r="I44" s="17">
        <f>ln(1680000000)</f>
        <v>21.24205963</v>
      </c>
      <c r="J44" s="10">
        <v>0.2</v>
      </c>
      <c r="K44" s="10">
        <v>2.3</v>
      </c>
      <c r="L44" s="10">
        <v>68.0</v>
      </c>
      <c r="M44" s="10">
        <v>6.72</v>
      </c>
      <c r="N44" s="10" t="s">
        <v>17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0" t="s">
        <v>47</v>
      </c>
      <c r="B45" s="1" t="s">
        <v>52</v>
      </c>
      <c r="C45" s="10">
        <v>2024.0</v>
      </c>
      <c r="D45" s="10">
        <v>12.6</v>
      </c>
      <c r="E45" s="10">
        <v>68.0</v>
      </c>
      <c r="F45" s="13">
        <v>5.008719</v>
      </c>
      <c r="G45" s="13">
        <v>-0.42936</v>
      </c>
      <c r="H45" s="13">
        <v>-0.55059</v>
      </c>
      <c r="I45" s="17">
        <f>ln(1850000000)</f>
        <v>21.33845148</v>
      </c>
      <c r="J45" s="10">
        <v>0.8</v>
      </c>
      <c r="K45" s="10">
        <v>7.1</v>
      </c>
      <c r="L45" s="10">
        <v>69.0</v>
      </c>
      <c r="M45" s="10">
        <v>15.22</v>
      </c>
      <c r="N45" s="10" t="s">
        <v>17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0" t="s">
        <v>47</v>
      </c>
      <c r="B46" s="1" t="s">
        <v>53</v>
      </c>
      <c r="C46" s="10">
        <v>2014.0</v>
      </c>
      <c r="D46" s="10">
        <v>3.47</v>
      </c>
      <c r="E46" s="10">
        <v>62.0</v>
      </c>
      <c r="F46" s="13">
        <v>6.377979</v>
      </c>
      <c r="G46" s="13">
        <v>3.179002</v>
      </c>
      <c r="H46" s="13">
        <v>0.933208</v>
      </c>
      <c r="I46" s="17">
        <f>ln(6780004500)</f>
        <v>22.6372436</v>
      </c>
      <c r="J46" s="10">
        <v>1.6</v>
      </c>
      <c r="K46" s="10">
        <v>17.01</v>
      </c>
      <c r="L46" s="10">
        <v>94.0</v>
      </c>
      <c r="M46" s="10">
        <v>5.0</v>
      </c>
      <c r="N46" s="10" t="s">
        <v>19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0" t="s">
        <v>47</v>
      </c>
      <c r="B47" s="1" t="s">
        <v>53</v>
      </c>
      <c r="C47" s="10">
        <v>2015.0</v>
      </c>
      <c r="D47" s="10">
        <v>2.74</v>
      </c>
      <c r="E47" s="10">
        <v>63.0</v>
      </c>
      <c r="F47" s="13">
        <v>4.205955</v>
      </c>
      <c r="G47" s="13">
        <v>3.768368</v>
      </c>
      <c r="H47" s="13">
        <v>0.919811</v>
      </c>
      <c r="I47" s="17">
        <f>ln(6780000000)</f>
        <v>22.63724294</v>
      </c>
      <c r="J47" s="10">
        <v>1.55</v>
      </c>
      <c r="K47" s="10">
        <v>17.06</v>
      </c>
      <c r="L47" s="10">
        <v>95.0</v>
      </c>
      <c r="M47" s="10">
        <v>3.47</v>
      </c>
      <c r="N47" s="10" t="s">
        <v>19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0" t="s">
        <v>47</v>
      </c>
      <c r="B48" s="1" t="s">
        <v>53</v>
      </c>
      <c r="C48" s="10">
        <v>2016.0</v>
      </c>
      <c r="D48" s="10">
        <v>1.91</v>
      </c>
      <c r="E48" s="10">
        <v>64.0</v>
      </c>
      <c r="F48" s="13">
        <v>5.053625</v>
      </c>
      <c r="G48" s="13">
        <v>3.958888</v>
      </c>
      <c r="H48" s="13">
        <v>1.133277</v>
      </c>
      <c r="I48" s="17">
        <f>ln(6778705000)</f>
        <v>22.63705192</v>
      </c>
      <c r="J48" s="10">
        <v>1.51</v>
      </c>
      <c r="K48" s="10">
        <v>16.65</v>
      </c>
      <c r="L48" s="10">
        <v>96.0</v>
      </c>
      <c r="M48" s="10">
        <v>2.74</v>
      </c>
      <c r="N48" s="10" t="s">
        <v>19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0" t="s">
        <v>47</v>
      </c>
      <c r="B49" s="1" t="s">
        <v>53</v>
      </c>
      <c r="C49" s="10">
        <v>2017.0</v>
      </c>
      <c r="D49" s="10">
        <v>1.88</v>
      </c>
      <c r="E49" s="10">
        <v>62.0</v>
      </c>
      <c r="F49" s="13">
        <v>6.460681</v>
      </c>
      <c r="G49" s="13">
        <v>7.704138</v>
      </c>
      <c r="H49" s="13">
        <v>1.143888</v>
      </c>
      <c r="I49" s="17">
        <f>ln(7200000000)</f>
        <v>22.69734686</v>
      </c>
      <c r="J49" s="10">
        <v>1.51</v>
      </c>
      <c r="K49" s="10">
        <v>15.22</v>
      </c>
      <c r="L49" s="10">
        <v>97.0</v>
      </c>
      <c r="M49" s="10">
        <v>1.91</v>
      </c>
      <c r="N49" s="10" t="s">
        <v>19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0" t="s">
        <v>47</v>
      </c>
      <c r="B50" s="1" t="s">
        <v>53</v>
      </c>
      <c r="C50" s="10">
        <v>2018.0</v>
      </c>
      <c r="D50" s="10">
        <v>1.88</v>
      </c>
      <c r="E50" s="10">
        <v>62.0</v>
      </c>
      <c r="F50" s="13">
        <v>2.310084</v>
      </c>
      <c r="G50" s="13">
        <v>2.135038</v>
      </c>
      <c r="H50" s="13">
        <v>1.006432</v>
      </c>
      <c r="I50" s="17">
        <f>ln(6580000000)</f>
        <v>22.60730058</v>
      </c>
      <c r="J50" s="10">
        <v>1.33</v>
      </c>
      <c r="K50" s="10">
        <v>12.3</v>
      </c>
      <c r="L50" s="10">
        <v>98.0</v>
      </c>
      <c r="M50" s="10">
        <v>1.88</v>
      </c>
      <c r="N50" s="10" t="s">
        <v>19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0" t="s">
        <v>47</v>
      </c>
      <c r="B51" s="1" t="s">
        <v>53</v>
      </c>
      <c r="C51" s="10">
        <v>2019.0</v>
      </c>
      <c r="D51" s="1">
        <v>1.88</v>
      </c>
      <c r="E51" s="10">
        <v>62.0</v>
      </c>
      <c r="F51" s="13">
        <v>-0.22048</v>
      </c>
      <c r="G51" s="13">
        <v>3.528394</v>
      </c>
      <c r="H51" s="13">
        <v>0.611876</v>
      </c>
      <c r="I51" s="17">
        <f>ln(7320000000)</f>
        <v>22.71387616</v>
      </c>
      <c r="J51" s="10">
        <v>1.11</v>
      </c>
      <c r="K51" s="10">
        <v>10.74</v>
      </c>
      <c r="L51" s="10">
        <v>99.0</v>
      </c>
      <c r="M51" s="10">
        <v>1.88</v>
      </c>
      <c r="N51" s="10" t="s">
        <v>19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0" t="s">
        <v>47</v>
      </c>
      <c r="B52" s="1" t="s">
        <v>53</v>
      </c>
      <c r="C52" s="10">
        <v>2020.0</v>
      </c>
      <c r="D52" s="10">
        <v>3.46</v>
      </c>
      <c r="E52" s="10">
        <v>62.0</v>
      </c>
      <c r="F52" s="13">
        <v>-4.62452</v>
      </c>
      <c r="G52" s="13">
        <v>6.153945</v>
      </c>
      <c r="H52" s="13">
        <v>0.530627</v>
      </c>
      <c r="I52" s="17">
        <f>ln(8090000000)</f>
        <v>22.81389457</v>
      </c>
      <c r="J52" s="10">
        <v>1.21</v>
      </c>
      <c r="K52" s="10">
        <v>12.11</v>
      </c>
      <c r="L52" s="10">
        <v>100.0</v>
      </c>
      <c r="M52" s="1">
        <v>1.88</v>
      </c>
      <c r="N52" s="10" t="s">
        <v>19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0" t="s">
        <v>47</v>
      </c>
      <c r="B53" s="1" t="s">
        <v>53</v>
      </c>
      <c r="C53" s="10">
        <v>2021.0</v>
      </c>
      <c r="D53" s="10">
        <v>3.85</v>
      </c>
      <c r="E53" s="10">
        <v>63.0</v>
      </c>
      <c r="F53" s="13">
        <v>4.207476</v>
      </c>
      <c r="G53" s="13">
        <v>7.014781</v>
      </c>
      <c r="H53" s="13">
        <v>1.07545</v>
      </c>
      <c r="I53" s="17">
        <f>ln(8290000000)</f>
        <v>22.83831581</v>
      </c>
      <c r="J53" s="10">
        <v>1.21</v>
      </c>
      <c r="K53" s="10">
        <v>12.59</v>
      </c>
      <c r="L53" s="10">
        <v>101.0</v>
      </c>
      <c r="M53" s="10">
        <v>3.46</v>
      </c>
      <c r="N53" s="10" t="s">
        <v>19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0" t="s">
        <v>47</v>
      </c>
      <c r="B54" s="1" t="s">
        <v>53</v>
      </c>
      <c r="C54" s="10">
        <v>2022.0</v>
      </c>
      <c r="D54" s="10">
        <v>3.89</v>
      </c>
      <c r="E54" s="10">
        <v>64.0</v>
      </c>
      <c r="F54" s="13">
        <v>-7.34919</v>
      </c>
      <c r="G54" s="13">
        <v>49.7211</v>
      </c>
      <c r="H54" s="13">
        <v>0.112773</v>
      </c>
      <c r="I54" s="17">
        <f>ln(5840000000)</f>
        <v>22.48799663</v>
      </c>
      <c r="J54" s="10">
        <v>1.03</v>
      </c>
      <c r="K54" s="10">
        <v>11.23</v>
      </c>
      <c r="L54" s="10">
        <v>102.0</v>
      </c>
      <c r="M54" s="10">
        <v>3.85</v>
      </c>
      <c r="N54" s="10" t="s">
        <v>19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0" t="s">
        <v>47</v>
      </c>
      <c r="B55" s="1" t="s">
        <v>53</v>
      </c>
      <c r="C55" s="10">
        <v>2023.0</v>
      </c>
      <c r="D55" s="10">
        <v>5.85</v>
      </c>
      <c r="E55" s="10">
        <v>66.0</v>
      </c>
      <c r="F55" s="13">
        <v>-2.32985</v>
      </c>
      <c r="G55" s="13">
        <v>16.54117</v>
      </c>
      <c r="H55" s="13">
        <v>-0.65132</v>
      </c>
      <c r="I55" s="17">
        <f>ln(6550000000)</f>
        <v>22.60273089</v>
      </c>
      <c r="J55" s="10">
        <v>0.86</v>
      </c>
      <c r="K55" s="10">
        <v>9.17</v>
      </c>
      <c r="L55" s="10">
        <v>103.0</v>
      </c>
      <c r="M55" s="10">
        <v>3.89</v>
      </c>
      <c r="N55" s="10" t="s">
        <v>19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0" t="s">
        <v>47</v>
      </c>
      <c r="B56" s="1" t="s">
        <v>53</v>
      </c>
      <c r="C56" s="10">
        <v>2024.0</v>
      </c>
      <c r="D56" s="10">
        <v>4.99</v>
      </c>
      <c r="E56" s="10">
        <v>68.0</v>
      </c>
      <c r="F56" s="13">
        <v>5.008719</v>
      </c>
      <c r="G56" s="13">
        <v>-0.42936</v>
      </c>
      <c r="H56" s="13">
        <v>-0.55059</v>
      </c>
      <c r="I56" s="17">
        <f>ln(7640000000)</f>
        <v>22.75666344</v>
      </c>
      <c r="J56" s="10">
        <v>0.95</v>
      </c>
      <c r="K56" s="10">
        <v>10.51</v>
      </c>
      <c r="L56" s="10">
        <v>104.0</v>
      </c>
      <c r="M56" s="10">
        <v>5.85</v>
      </c>
      <c r="N56" s="10" t="s">
        <v>19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0" t="s">
        <v>47</v>
      </c>
      <c r="B57" s="10" t="s">
        <v>54</v>
      </c>
      <c r="C57" s="10">
        <v>2014.0</v>
      </c>
      <c r="D57" s="10">
        <v>7.69</v>
      </c>
      <c r="E57" s="10">
        <v>62.0</v>
      </c>
      <c r="F57" s="13">
        <v>6.377979</v>
      </c>
      <c r="G57" s="13">
        <v>3.179002</v>
      </c>
      <c r="H57" s="13">
        <v>0.933208</v>
      </c>
      <c r="I57" s="17">
        <f>ln(1890000000)</f>
        <v>21.35984267</v>
      </c>
      <c r="J57" s="10">
        <v>1.33</v>
      </c>
      <c r="K57" s="10">
        <v>13.45</v>
      </c>
      <c r="L57" s="10">
        <v>27.0</v>
      </c>
      <c r="M57" s="10">
        <v>7.03</v>
      </c>
      <c r="N57" s="10" t="s">
        <v>17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0" t="s">
        <v>47</v>
      </c>
      <c r="B58" s="10" t="s">
        <v>54</v>
      </c>
      <c r="C58" s="10">
        <v>2015.0</v>
      </c>
      <c r="D58" s="10">
        <v>4.68</v>
      </c>
      <c r="E58" s="10">
        <v>63.0</v>
      </c>
      <c r="F58" s="13">
        <v>4.205955</v>
      </c>
      <c r="G58" s="13">
        <v>3.768368</v>
      </c>
      <c r="H58" s="13">
        <v>0.919811</v>
      </c>
      <c r="I58" s="17">
        <f>ln(2120000000)</f>
        <v>21.47468193</v>
      </c>
      <c r="J58" s="10">
        <v>1.4</v>
      </c>
      <c r="K58" s="10">
        <v>15.62</v>
      </c>
      <c r="L58" s="10">
        <v>28.0</v>
      </c>
      <c r="M58" s="10">
        <v>7.69</v>
      </c>
      <c r="N58" s="10" t="s">
        <v>17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0" t="s">
        <v>47</v>
      </c>
      <c r="B59" s="10" t="s">
        <v>54</v>
      </c>
      <c r="C59" s="10">
        <v>2016.0</v>
      </c>
      <c r="D59" s="10">
        <v>4.51</v>
      </c>
      <c r="E59" s="10">
        <v>64.0</v>
      </c>
      <c r="F59" s="13">
        <v>5.053625</v>
      </c>
      <c r="G59" s="13">
        <v>3.958888</v>
      </c>
      <c r="H59" s="13">
        <v>1.133277</v>
      </c>
      <c r="I59" s="17">
        <f>ln(2390000000)</f>
        <v>21.5945592</v>
      </c>
      <c r="J59" s="10">
        <v>1.4</v>
      </c>
      <c r="K59" s="10">
        <v>14.86</v>
      </c>
      <c r="L59" s="10">
        <v>29.0</v>
      </c>
      <c r="M59" s="10">
        <v>4.68</v>
      </c>
      <c r="N59" s="10" t="s">
        <v>17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0" t="s">
        <v>47</v>
      </c>
      <c r="B60" s="10" t="s">
        <v>54</v>
      </c>
      <c r="C60" s="10">
        <v>2017.0</v>
      </c>
      <c r="D60" s="10">
        <v>4.41</v>
      </c>
      <c r="E60" s="10">
        <v>62.0</v>
      </c>
      <c r="F60" s="13">
        <v>6.460681</v>
      </c>
      <c r="G60" s="13">
        <v>7.704138</v>
      </c>
      <c r="H60" s="13">
        <v>1.143888</v>
      </c>
      <c r="I60" s="17">
        <f>ln(2750000000)</f>
        <v>21.73486675</v>
      </c>
      <c r="J60" s="10">
        <v>1.25</v>
      </c>
      <c r="K60" s="10">
        <v>12.85</v>
      </c>
      <c r="L60" s="10">
        <v>30.0</v>
      </c>
      <c r="M60" s="10">
        <v>4.51</v>
      </c>
      <c r="N60" s="10" t="s">
        <v>17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0" t="s">
        <v>47</v>
      </c>
      <c r="B61" s="10" t="s">
        <v>54</v>
      </c>
      <c r="C61" s="10">
        <v>2018.0</v>
      </c>
      <c r="D61" s="10">
        <v>2.76</v>
      </c>
      <c r="E61" s="10">
        <v>62.0</v>
      </c>
      <c r="F61" s="13">
        <v>2.310084</v>
      </c>
      <c r="G61" s="13">
        <v>2.135038</v>
      </c>
      <c r="H61" s="13">
        <v>1.006432</v>
      </c>
      <c r="I61" s="17">
        <f>ln(2680000000)</f>
        <v>21.70908263</v>
      </c>
      <c r="J61" s="10">
        <v>1.21</v>
      </c>
      <c r="K61" s="10">
        <v>12.18</v>
      </c>
      <c r="L61" s="10">
        <v>31.0</v>
      </c>
      <c r="M61" s="10">
        <v>4.41</v>
      </c>
      <c r="N61" s="10" t="s">
        <v>17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0" t="s">
        <v>47</v>
      </c>
      <c r="B62" s="10" t="s">
        <v>54</v>
      </c>
      <c r="C62" s="10">
        <v>2019.0</v>
      </c>
      <c r="D62" s="10">
        <v>3.79</v>
      </c>
      <c r="E62" s="10">
        <v>62.0</v>
      </c>
      <c r="F62" s="13">
        <v>-0.22048</v>
      </c>
      <c r="G62" s="13">
        <v>3.528394</v>
      </c>
      <c r="H62" s="13">
        <v>0.611876</v>
      </c>
      <c r="I62" s="17">
        <f>ln(2770000000)</f>
        <v>21.74211316</v>
      </c>
      <c r="J62" s="10">
        <v>0.81</v>
      </c>
      <c r="K62" s="10">
        <v>7.91</v>
      </c>
      <c r="L62" s="10">
        <v>32.0</v>
      </c>
      <c r="M62" s="10">
        <v>2.76</v>
      </c>
      <c r="N62" s="10" t="s">
        <v>17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0" t="s">
        <v>47</v>
      </c>
      <c r="B63" s="10" t="s">
        <v>54</v>
      </c>
      <c r="C63" s="10">
        <v>2020.0</v>
      </c>
      <c r="D63" s="10">
        <v>4.7</v>
      </c>
      <c r="E63" s="10">
        <v>62.0</v>
      </c>
      <c r="F63" s="13">
        <v>-4.62452</v>
      </c>
      <c r="G63" s="13">
        <v>6.153945</v>
      </c>
      <c r="H63" s="13">
        <v>0.530627</v>
      </c>
      <c r="I63" s="17">
        <f>ln(2820000000)</f>
        <v>21.76000272</v>
      </c>
      <c r="J63" s="10">
        <v>0.84</v>
      </c>
      <c r="K63" s="10">
        <v>7.91</v>
      </c>
      <c r="L63" s="10">
        <v>33.0</v>
      </c>
      <c r="M63" s="10">
        <v>3.79</v>
      </c>
      <c r="N63" s="10" t="s">
        <v>17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0" t="s">
        <v>47</v>
      </c>
      <c r="B64" s="10" t="s">
        <v>54</v>
      </c>
      <c r="C64" s="10">
        <v>2021.0</v>
      </c>
      <c r="D64" s="10">
        <v>4.35</v>
      </c>
      <c r="E64" s="10">
        <v>63.0</v>
      </c>
      <c r="F64" s="13">
        <v>4.207476</v>
      </c>
      <c r="G64" s="13">
        <v>7.014781</v>
      </c>
      <c r="H64" s="13">
        <v>1.07545</v>
      </c>
      <c r="I64" s="17">
        <f>ln(2910000000)</f>
        <v>21.79141892</v>
      </c>
      <c r="J64" s="10">
        <v>0.9</v>
      </c>
      <c r="K64" s="10">
        <v>8.01</v>
      </c>
      <c r="L64" s="10">
        <v>34.0</v>
      </c>
      <c r="M64" s="10">
        <v>4.7</v>
      </c>
      <c r="N64" s="10" t="s">
        <v>17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0" t="s">
        <v>47</v>
      </c>
      <c r="B65" s="10" t="s">
        <v>54</v>
      </c>
      <c r="C65" s="10">
        <v>2022.0</v>
      </c>
      <c r="D65" s="10">
        <v>3.96</v>
      </c>
      <c r="E65" s="10">
        <v>64.0</v>
      </c>
      <c r="F65" s="13">
        <v>-7.34919</v>
      </c>
      <c r="G65" s="13">
        <v>49.7211</v>
      </c>
      <c r="H65" s="13">
        <v>0.112773</v>
      </c>
      <c r="I65" s="17">
        <f>ln(1810000000)</f>
        <v>21.31659268</v>
      </c>
      <c r="J65" s="10">
        <v>0.97</v>
      </c>
      <c r="K65" s="10">
        <v>9.09</v>
      </c>
      <c r="L65" s="10">
        <v>35.0</v>
      </c>
      <c r="M65" s="10">
        <v>4.35</v>
      </c>
      <c r="N65" s="10" t="s">
        <v>17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0" t="s">
        <v>47</v>
      </c>
      <c r="B66" s="10" t="s">
        <v>54</v>
      </c>
      <c r="C66" s="10">
        <v>2023.0</v>
      </c>
      <c r="D66" s="10">
        <v>2.45</v>
      </c>
      <c r="E66" s="10">
        <v>66.0</v>
      </c>
      <c r="F66" s="13">
        <v>-2.32985</v>
      </c>
      <c r="G66" s="13">
        <v>16.54117</v>
      </c>
      <c r="H66" s="13">
        <v>-0.65132</v>
      </c>
      <c r="I66" s="17">
        <f>ln(2130000000)</f>
        <v>21.47938782</v>
      </c>
      <c r="J66" s="10">
        <v>1.14</v>
      </c>
      <c r="K66" s="10">
        <v>11.2</v>
      </c>
      <c r="L66" s="10">
        <v>36.0</v>
      </c>
      <c r="M66" s="10">
        <v>3.96</v>
      </c>
      <c r="N66" s="10" t="s">
        <v>17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0" t="s">
        <v>47</v>
      </c>
      <c r="B67" s="10" t="s">
        <v>54</v>
      </c>
      <c r="C67" s="10">
        <v>2024.0</v>
      </c>
      <c r="D67" s="10">
        <v>2.21</v>
      </c>
      <c r="E67" s="10">
        <v>68.0</v>
      </c>
      <c r="F67" s="13">
        <v>5.008719</v>
      </c>
      <c r="G67" s="13">
        <v>-0.42936</v>
      </c>
      <c r="H67" s="13">
        <v>-0.55059</v>
      </c>
      <c r="I67" s="17">
        <f>ln(2530000000)</f>
        <v>21.65148514</v>
      </c>
      <c r="J67" s="10">
        <v>1.56</v>
      </c>
      <c r="K67" s="10">
        <v>15.2</v>
      </c>
      <c r="L67" s="10">
        <v>37.0</v>
      </c>
      <c r="M67" s="10">
        <v>2.45</v>
      </c>
      <c r="N67" s="10" t="s">
        <v>17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0" t="s">
        <v>47</v>
      </c>
      <c r="B68" s="19" t="s">
        <v>55</v>
      </c>
      <c r="C68" s="10">
        <v>2014.0</v>
      </c>
      <c r="D68" s="10">
        <v>1.51</v>
      </c>
      <c r="E68" s="10">
        <v>62.0</v>
      </c>
      <c r="F68" s="13">
        <v>6.377979</v>
      </c>
      <c r="G68" s="13">
        <v>3.179002</v>
      </c>
      <c r="H68" s="13">
        <v>0.933208</v>
      </c>
      <c r="I68" s="17">
        <f>ln(3460000000)</f>
        <v>21.96453443</v>
      </c>
      <c r="J68" s="10">
        <v>1.58</v>
      </c>
      <c r="K68" s="10">
        <v>18.23</v>
      </c>
      <c r="L68" s="10">
        <v>27.0</v>
      </c>
      <c r="M68" s="10">
        <v>1.9</v>
      </c>
      <c r="N68" s="10" t="s">
        <v>17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0" t="s">
        <v>47</v>
      </c>
      <c r="B69" s="19" t="s">
        <v>55</v>
      </c>
      <c r="C69" s="10">
        <v>2015.0</v>
      </c>
      <c r="D69" s="10">
        <v>1.64</v>
      </c>
      <c r="E69" s="10">
        <v>63.0</v>
      </c>
      <c r="F69" s="13">
        <v>4.205955</v>
      </c>
      <c r="G69" s="13">
        <v>3.768368</v>
      </c>
      <c r="H69" s="13">
        <v>0.919811</v>
      </c>
      <c r="I69" s="17">
        <f>ln(3760000000)</f>
        <v>22.04768479</v>
      </c>
      <c r="J69" s="10">
        <v>1.28</v>
      </c>
      <c r="K69" s="10">
        <v>18.42</v>
      </c>
      <c r="L69" s="10">
        <v>28.0</v>
      </c>
      <c r="M69" s="10">
        <v>1.51</v>
      </c>
      <c r="N69" s="10" t="s">
        <v>17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0" t="s">
        <v>47</v>
      </c>
      <c r="B70" s="19" t="s">
        <v>55</v>
      </c>
      <c r="C70" s="10">
        <v>2016.0</v>
      </c>
      <c r="D70" s="10">
        <v>1.61</v>
      </c>
      <c r="E70" s="10">
        <v>64.0</v>
      </c>
      <c r="F70" s="13">
        <v>5.053625</v>
      </c>
      <c r="G70" s="13">
        <v>3.958888</v>
      </c>
      <c r="H70" s="13">
        <v>1.133277</v>
      </c>
      <c r="I70" s="17">
        <f>ln(4420000000)</f>
        <v>22.20940553</v>
      </c>
      <c r="J70" s="10">
        <v>1.55</v>
      </c>
      <c r="K70" s="10">
        <v>23.47</v>
      </c>
      <c r="L70" s="10">
        <v>29.0</v>
      </c>
      <c r="M70" s="10">
        <v>1.64</v>
      </c>
      <c r="N70" s="10" t="s">
        <v>17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0" t="s">
        <v>47</v>
      </c>
      <c r="B71" s="19" t="s">
        <v>55</v>
      </c>
      <c r="C71" s="10">
        <v>2017.0</v>
      </c>
      <c r="D71" s="10">
        <v>1.64</v>
      </c>
      <c r="E71" s="10">
        <v>62.0</v>
      </c>
      <c r="F71" s="13">
        <v>6.460681</v>
      </c>
      <c r="G71" s="13">
        <v>7.704138</v>
      </c>
      <c r="H71" s="13">
        <v>1.143888</v>
      </c>
      <c r="I71" s="17">
        <f>ln(5180000000)</f>
        <v>22.36807089</v>
      </c>
      <c r="J71" s="10">
        <v>1.67</v>
      </c>
      <c r="K71" s="10">
        <v>23.35</v>
      </c>
      <c r="L71" s="10">
        <v>30.0</v>
      </c>
      <c r="M71" s="10">
        <v>1.61</v>
      </c>
      <c r="N71" s="10" t="s">
        <v>17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0" t="s">
        <v>47</v>
      </c>
      <c r="B72" s="19" t="s">
        <v>55</v>
      </c>
      <c r="C72" s="10">
        <v>2018.0</v>
      </c>
      <c r="D72" s="10">
        <v>2.87</v>
      </c>
      <c r="E72" s="10">
        <v>62.0</v>
      </c>
      <c r="F72" s="13">
        <v>2.310084</v>
      </c>
      <c r="G72" s="13">
        <v>2.135038</v>
      </c>
      <c r="H72" s="13">
        <v>1.006432</v>
      </c>
      <c r="I72" s="17">
        <f>ln(4160000000)</f>
        <v>22.14878091</v>
      </c>
      <c r="J72" s="10">
        <v>1.49</v>
      </c>
      <c r="K72" s="10">
        <v>22.01</v>
      </c>
      <c r="L72" s="10">
        <v>31.0</v>
      </c>
      <c r="M72" s="10">
        <v>1.64</v>
      </c>
      <c r="N72" s="10" t="s">
        <v>17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0" t="s">
        <v>47</v>
      </c>
      <c r="B73" s="19" t="s">
        <v>55</v>
      </c>
      <c r="C73" s="10">
        <v>2019.0</v>
      </c>
      <c r="D73" s="10">
        <v>6.37</v>
      </c>
      <c r="E73" s="10">
        <v>62.0</v>
      </c>
      <c r="F73" s="13">
        <v>-0.22048</v>
      </c>
      <c r="G73" s="13">
        <v>3.528394</v>
      </c>
      <c r="H73" s="13">
        <v>0.611876</v>
      </c>
      <c r="I73" s="17">
        <f>ln(5190000000)</f>
        <v>22.36999953</v>
      </c>
      <c r="J73" s="10">
        <v>1.2</v>
      </c>
      <c r="K73" s="10">
        <v>11.78</v>
      </c>
      <c r="L73" s="10">
        <v>32.0</v>
      </c>
      <c r="M73" s="10">
        <v>2.87</v>
      </c>
      <c r="N73" s="10" t="s">
        <v>17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0" t="s">
        <v>47</v>
      </c>
      <c r="B74" s="19" t="s">
        <v>55</v>
      </c>
      <c r="C74" s="10">
        <v>2020.0</v>
      </c>
      <c r="D74" s="10">
        <v>6.3</v>
      </c>
      <c r="E74" s="10">
        <v>62.0</v>
      </c>
      <c r="F74" s="13">
        <v>-4.62452</v>
      </c>
      <c r="G74" s="13">
        <v>6.153945</v>
      </c>
      <c r="H74" s="13">
        <v>0.530627</v>
      </c>
      <c r="I74" s="17">
        <f t="shared" ref="I74:I75" si="3">ln(5980000000)</f>
        <v>22.5116864</v>
      </c>
      <c r="J74" s="10">
        <v>0.78</v>
      </c>
      <c r="K74" s="10">
        <v>7.58</v>
      </c>
      <c r="L74" s="10">
        <v>33.0</v>
      </c>
      <c r="M74" s="10">
        <v>6.37</v>
      </c>
      <c r="N74" s="10" t="s">
        <v>17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0" t="s">
        <v>47</v>
      </c>
      <c r="B75" s="19" t="s">
        <v>55</v>
      </c>
      <c r="C75" s="10">
        <v>2021.0</v>
      </c>
      <c r="D75" s="10">
        <v>1.78</v>
      </c>
      <c r="E75" s="10">
        <v>63.0</v>
      </c>
      <c r="F75" s="13">
        <v>4.207476</v>
      </c>
      <c r="G75" s="13">
        <v>7.014781</v>
      </c>
      <c r="H75" s="13">
        <v>1.07545</v>
      </c>
      <c r="I75" s="17">
        <f t="shared" si="3"/>
        <v>22.5116864</v>
      </c>
      <c r="J75" s="10">
        <v>1.07</v>
      </c>
      <c r="K75" s="10">
        <v>11.05</v>
      </c>
      <c r="L75" s="10">
        <v>34.0</v>
      </c>
      <c r="M75" s="10">
        <v>6.3</v>
      </c>
      <c r="N75" s="10" t="s">
        <v>17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0" t="s">
        <v>47</v>
      </c>
      <c r="B76" s="19" t="s">
        <v>55</v>
      </c>
      <c r="C76" s="10">
        <v>2022.0</v>
      </c>
      <c r="D76" s="10">
        <v>4.35</v>
      </c>
      <c r="E76" s="10">
        <v>64.0</v>
      </c>
      <c r="F76" s="13">
        <v>-7.34919</v>
      </c>
      <c r="G76" s="13">
        <v>49.7211</v>
      </c>
      <c r="H76" s="13">
        <v>0.112773</v>
      </c>
      <c r="I76" s="17">
        <f>ln(3620000000)</f>
        <v>22.00973986</v>
      </c>
      <c r="J76" s="10">
        <v>1.01</v>
      </c>
      <c r="K76" s="10">
        <v>10.95</v>
      </c>
      <c r="L76" s="10">
        <v>35.0</v>
      </c>
      <c r="M76" s="10">
        <v>1.78</v>
      </c>
      <c r="N76" s="10" t="s">
        <v>17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0" t="s">
        <v>47</v>
      </c>
      <c r="B77" s="19" t="s">
        <v>55</v>
      </c>
      <c r="C77" s="10">
        <v>2023.0</v>
      </c>
      <c r="D77" s="10">
        <v>5.87</v>
      </c>
      <c r="E77" s="10">
        <v>66.0</v>
      </c>
      <c r="F77" s="13">
        <v>-2.32985</v>
      </c>
      <c r="G77" s="13">
        <v>16.54117</v>
      </c>
      <c r="H77" s="13">
        <v>-0.65132</v>
      </c>
      <c r="I77" s="17">
        <f>ln(4760000000)</f>
        <v>22.28351351</v>
      </c>
      <c r="J77" s="10">
        <v>1.22</v>
      </c>
      <c r="K77" s="10">
        <v>12.65</v>
      </c>
      <c r="L77" s="10">
        <v>36.0</v>
      </c>
      <c r="M77" s="10">
        <v>4.35</v>
      </c>
      <c r="N77" s="10" t="s">
        <v>17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0" t="s">
        <v>47</v>
      </c>
      <c r="B78" s="19" t="s">
        <v>55</v>
      </c>
      <c r="C78" s="10">
        <v>2024.0</v>
      </c>
      <c r="D78" s="10">
        <v>4.69</v>
      </c>
      <c r="E78" s="10">
        <v>68.0</v>
      </c>
      <c r="F78" s="13">
        <v>5.008719</v>
      </c>
      <c r="G78" s="13">
        <v>-0.42936</v>
      </c>
      <c r="H78" s="13">
        <v>-0.55059</v>
      </c>
      <c r="I78" s="17">
        <f>ln(6060000000)</f>
        <v>22.52497564</v>
      </c>
      <c r="J78" s="10">
        <v>1.66</v>
      </c>
      <c r="K78" s="10">
        <v>17.74</v>
      </c>
      <c r="L78" s="10">
        <v>37.0</v>
      </c>
      <c r="M78" s="10">
        <v>5.87</v>
      </c>
      <c r="N78" s="10" t="s">
        <v>17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0" t="s">
        <v>47</v>
      </c>
      <c r="B79" s="10" t="s">
        <v>56</v>
      </c>
      <c r="C79" s="10">
        <v>2014.0</v>
      </c>
      <c r="D79" s="10">
        <v>7.7</v>
      </c>
      <c r="E79" s="10">
        <v>62.0</v>
      </c>
      <c r="F79" s="13">
        <v>6.377979</v>
      </c>
      <c r="G79" s="13">
        <v>3.179002</v>
      </c>
      <c r="H79" s="13">
        <v>0.933208</v>
      </c>
      <c r="I79" s="17">
        <f>ln(4860000000)</f>
        <v>22.30430427</v>
      </c>
      <c r="J79" s="10">
        <v>1.3</v>
      </c>
      <c r="K79" s="10">
        <v>16.0</v>
      </c>
      <c r="L79" s="10">
        <v>5.0</v>
      </c>
      <c r="M79" s="10">
        <v>6.5</v>
      </c>
      <c r="N79" s="10" t="s">
        <v>17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0" t="s">
        <v>47</v>
      </c>
      <c r="B80" s="10" t="s">
        <v>56</v>
      </c>
      <c r="C80" s="10">
        <v>2015.0</v>
      </c>
      <c r="D80" s="10">
        <v>7.0</v>
      </c>
      <c r="E80" s="10">
        <v>63.0</v>
      </c>
      <c r="F80" s="13">
        <v>4.205955</v>
      </c>
      <c r="G80" s="13">
        <v>3.768368</v>
      </c>
      <c r="H80" s="13">
        <v>0.919811</v>
      </c>
      <c r="I80" s="17">
        <f>ln(5560000000)</f>
        <v>22.43886395</v>
      </c>
      <c r="J80" s="10">
        <v>1.4</v>
      </c>
      <c r="K80" s="10">
        <v>14.5</v>
      </c>
      <c r="L80" s="10">
        <v>6.0</v>
      </c>
      <c r="M80" s="10">
        <v>7.7</v>
      </c>
      <c r="N80" s="10" t="s">
        <v>17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0" t="s">
        <v>47</v>
      </c>
      <c r="B81" s="10" t="s">
        <v>56</v>
      </c>
      <c r="C81" s="10">
        <v>2016.0</v>
      </c>
      <c r="D81" s="10">
        <v>6.8</v>
      </c>
      <c r="E81" s="10">
        <v>64.0</v>
      </c>
      <c r="F81" s="13">
        <v>5.053625</v>
      </c>
      <c r="G81" s="13">
        <v>3.958888</v>
      </c>
      <c r="H81" s="13">
        <v>1.133277</v>
      </c>
      <c r="I81" s="17">
        <f>ln(6060000000)</f>
        <v>22.52497564</v>
      </c>
      <c r="J81" s="10">
        <v>1.33</v>
      </c>
      <c r="K81" s="10">
        <v>13.0</v>
      </c>
      <c r="L81" s="10">
        <v>7.0</v>
      </c>
      <c r="M81" s="10">
        <v>7.0</v>
      </c>
      <c r="N81" s="10" t="s">
        <v>17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0" t="s">
        <v>47</v>
      </c>
      <c r="B82" s="10" t="s">
        <v>56</v>
      </c>
      <c r="C82" s="10">
        <v>2017.0</v>
      </c>
      <c r="D82" s="10">
        <v>6.5</v>
      </c>
      <c r="E82" s="10">
        <v>62.0</v>
      </c>
      <c r="F82" s="13">
        <v>6.460681</v>
      </c>
      <c r="G82" s="13">
        <v>7.704138</v>
      </c>
      <c r="H82" s="13">
        <v>1.143888</v>
      </c>
      <c r="I82" s="17">
        <f>ln(3560000000)</f>
        <v>21.99302638</v>
      </c>
      <c r="J82" s="10">
        <v>1.2</v>
      </c>
      <c r="K82" s="10">
        <v>14.8</v>
      </c>
      <c r="L82" s="10">
        <v>8.0</v>
      </c>
      <c r="M82" s="10">
        <v>6.8</v>
      </c>
      <c r="N82" s="10" t="s">
        <v>17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0" t="s">
        <v>47</v>
      </c>
      <c r="B83" s="10" t="s">
        <v>56</v>
      </c>
      <c r="C83" s="10">
        <v>2018.0</v>
      </c>
      <c r="D83" s="10">
        <v>6.9</v>
      </c>
      <c r="E83" s="10">
        <v>62.0</v>
      </c>
      <c r="F83" s="13">
        <v>2.310084</v>
      </c>
      <c r="G83" s="13">
        <v>2.135038</v>
      </c>
      <c r="H83" s="13">
        <v>1.006432</v>
      </c>
      <c r="I83" s="17">
        <f>ln(3960000000)</f>
        <v>22.09950986</v>
      </c>
      <c r="J83" s="10">
        <v>1.5</v>
      </c>
      <c r="K83" s="10">
        <v>14.9</v>
      </c>
      <c r="L83" s="10">
        <v>9.0</v>
      </c>
      <c r="M83" s="10">
        <v>6.5</v>
      </c>
      <c r="N83" s="10" t="s">
        <v>17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0" t="s">
        <v>47</v>
      </c>
      <c r="B84" s="10" t="s">
        <v>56</v>
      </c>
      <c r="C84" s="10">
        <v>2019.0</v>
      </c>
      <c r="D84" s="10">
        <v>6.3</v>
      </c>
      <c r="E84" s="10">
        <v>62.0</v>
      </c>
      <c r="F84" s="13">
        <v>-0.22048</v>
      </c>
      <c r="G84" s="13">
        <v>3.528394</v>
      </c>
      <c r="H84" s="13">
        <v>0.611876</v>
      </c>
      <c r="I84" s="17">
        <f>ln(4960000000)</f>
        <v>22.32467158</v>
      </c>
      <c r="J84" s="10">
        <v>1.6</v>
      </c>
      <c r="K84" s="10">
        <v>15.7</v>
      </c>
      <c r="L84" s="10">
        <v>10.0</v>
      </c>
      <c r="M84" s="10">
        <v>6.9</v>
      </c>
      <c r="N84" s="10" t="s">
        <v>17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0" t="s">
        <v>47</v>
      </c>
      <c r="B85" s="10" t="s">
        <v>56</v>
      </c>
      <c r="C85" s="10">
        <v>2020.0</v>
      </c>
      <c r="D85" s="10">
        <v>5.9</v>
      </c>
      <c r="E85" s="10">
        <v>62.0</v>
      </c>
      <c r="F85" s="13">
        <v>-4.62452</v>
      </c>
      <c r="G85" s="13">
        <v>6.153945</v>
      </c>
      <c r="H85" s="13">
        <v>0.530627</v>
      </c>
      <c r="I85" s="17">
        <f>ln(5160000000)</f>
        <v>22.36420242</v>
      </c>
      <c r="J85" s="10">
        <v>1.2</v>
      </c>
      <c r="K85" s="10">
        <v>16.9</v>
      </c>
      <c r="L85" s="10">
        <v>11.0</v>
      </c>
      <c r="M85" s="10">
        <v>6.3</v>
      </c>
      <c r="N85" s="10" t="s">
        <v>17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0" t="s">
        <v>47</v>
      </c>
      <c r="B86" s="10" t="s">
        <v>56</v>
      </c>
      <c r="C86" s="10">
        <v>2021.0</v>
      </c>
      <c r="D86" s="10">
        <v>5.8</v>
      </c>
      <c r="E86" s="10">
        <v>63.0</v>
      </c>
      <c r="F86" s="13">
        <v>4.207476</v>
      </c>
      <c r="G86" s="13">
        <v>7.014781</v>
      </c>
      <c r="H86" s="13">
        <v>1.07545</v>
      </c>
      <c r="I86" s="17">
        <f>ln(5260000000)</f>
        <v>22.38339686</v>
      </c>
      <c r="J86" s="10">
        <v>1.7</v>
      </c>
      <c r="K86" s="10">
        <v>22.0</v>
      </c>
      <c r="L86" s="10">
        <v>12.0</v>
      </c>
      <c r="M86" s="10">
        <v>5.9</v>
      </c>
      <c r="N86" s="10" t="s">
        <v>17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0" t="s">
        <v>47</v>
      </c>
      <c r="B87" s="10" t="s">
        <v>56</v>
      </c>
      <c r="C87" s="10">
        <v>2022.0</v>
      </c>
      <c r="D87" s="10">
        <v>4.9</v>
      </c>
      <c r="E87" s="10">
        <v>64.0</v>
      </c>
      <c r="F87" s="13">
        <v>-7.34919</v>
      </c>
      <c r="G87" s="13">
        <v>49.7211</v>
      </c>
      <c r="H87" s="13">
        <v>0.112773</v>
      </c>
      <c r="I87" s="17">
        <f>ln(5160000900)</f>
        <v>22.36420259</v>
      </c>
      <c r="J87" s="10">
        <v>1.44</v>
      </c>
      <c r="K87" s="10">
        <v>21.0</v>
      </c>
      <c r="L87" s="10">
        <v>13.0</v>
      </c>
      <c r="M87" s="10">
        <v>5.8</v>
      </c>
      <c r="N87" s="10" t="s">
        <v>17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0" t="s">
        <v>47</v>
      </c>
      <c r="B88" s="10" t="s">
        <v>56</v>
      </c>
      <c r="C88" s="10">
        <v>2023.0</v>
      </c>
      <c r="D88" s="10">
        <v>4.4</v>
      </c>
      <c r="E88" s="10">
        <v>66.0</v>
      </c>
      <c r="F88" s="13">
        <v>-2.32985</v>
      </c>
      <c r="G88" s="13">
        <v>16.54117</v>
      </c>
      <c r="H88" s="13">
        <v>-0.65132</v>
      </c>
      <c r="I88" s="17">
        <f>ln(5260000000)</f>
        <v>22.38339686</v>
      </c>
      <c r="J88" s="10">
        <v>1.9</v>
      </c>
      <c r="K88" s="10">
        <v>20.0</v>
      </c>
      <c r="L88" s="10">
        <v>14.0</v>
      </c>
      <c r="M88" s="10">
        <v>4.9</v>
      </c>
      <c r="N88" s="10" t="s">
        <v>17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0" t="s">
        <v>47</v>
      </c>
      <c r="B89" s="10" t="s">
        <v>56</v>
      </c>
      <c r="C89" s="10">
        <v>2024.0</v>
      </c>
      <c r="D89" s="10">
        <v>4.6</v>
      </c>
      <c r="E89" s="10">
        <v>68.0</v>
      </c>
      <c r="F89" s="13">
        <v>5.008719</v>
      </c>
      <c r="G89" s="13">
        <v>-0.42936</v>
      </c>
      <c r="H89" s="13">
        <v>-0.55059</v>
      </c>
      <c r="I89" s="17">
        <f>ln(9260040000)</f>
        <v>22.94897421</v>
      </c>
      <c r="J89" s="10">
        <v>1.8</v>
      </c>
      <c r="K89" s="10">
        <v>22.5</v>
      </c>
      <c r="L89" s="10">
        <v>15.0</v>
      </c>
      <c r="M89" s="10">
        <v>4.4</v>
      </c>
      <c r="N89" s="10" t="s">
        <v>17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0" t="s">
        <v>47</v>
      </c>
      <c r="B90" s="10" t="s">
        <v>57</v>
      </c>
      <c r="C90" s="10">
        <v>2014.0</v>
      </c>
      <c r="D90" s="10">
        <v>5.5</v>
      </c>
      <c r="E90" s="10">
        <v>62.0</v>
      </c>
      <c r="F90" s="13">
        <v>6.377979</v>
      </c>
      <c r="G90" s="13">
        <v>3.179002</v>
      </c>
      <c r="H90" s="13">
        <v>0.933208</v>
      </c>
      <c r="I90" s="17">
        <f>ln(5260040000)</f>
        <v>22.38340447</v>
      </c>
      <c r="J90" s="10">
        <v>2.2</v>
      </c>
      <c r="K90" s="10">
        <v>19.0</v>
      </c>
      <c r="L90" s="10">
        <v>53.0</v>
      </c>
      <c r="M90" s="10">
        <v>4.5</v>
      </c>
      <c r="N90" s="10" t="s">
        <v>17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0" t="s">
        <v>47</v>
      </c>
      <c r="B91" s="10" t="s">
        <v>57</v>
      </c>
      <c r="C91" s="10">
        <v>2015.0</v>
      </c>
      <c r="D91" s="10">
        <v>5.8</v>
      </c>
      <c r="E91" s="10">
        <v>63.0</v>
      </c>
      <c r="F91" s="13">
        <v>4.205955</v>
      </c>
      <c r="G91" s="13">
        <v>3.768368</v>
      </c>
      <c r="H91" s="13">
        <v>0.919811</v>
      </c>
      <c r="I91" s="17">
        <f>ln(8260040000)</f>
        <v>22.83469527</v>
      </c>
      <c r="J91" s="10">
        <v>2.4</v>
      </c>
      <c r="K91" s="10">
        <v>18.9</v>
      </c>
      <c r="L91" s="10">
        <v>54.0</v>
      </c>
      <c r="M91" s="10">
        <v>5.5</v>
      </c>
      <c r="N91" s="10" t="s">
        <v>17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0" t="s">
        <v>47</v>
      </c>
      <c r="B92" s="10" t="s">
        <v>57</v>
      </c>
      <c r="C92" s="10">
        <v>2016.0</v>
      </c>
      <c r="D92" s="10">
        <v>6.7</v>
      </c>
      <c r="E92" s="10">
        <v>64.0</v>
      </c>
      <c r="F92" s="13">
        <v>5.053625</v>
      </c>
      <c r="G92" s="13">
        <v>3.958888</v>
      </c>
      <c r="H92" s="13">
        <v>1.133277</v>
      </c>
      <c r="I92" s="17">
        <f>ln(5260040000)</f>
        <v>22.38340447</v>
      </c>
      <c r="J92" s="10">
        <v>2.6</v>
      </c>
      <c r="K92" s="10">
        <v>18.5</v>
      </c>
      <c r="L92" s="10">
        <v>55.0</v>
      </c>
      <c r="M92" s="10">
        <v>5.8</v>
      </c>
      <c r="N92" s="10" t="s">
        <v>17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0" t="s">
        <v>47</v>
      </c>
      <c r="B93" s="10" t="s">
        <v>57</v>
      </c>
      <c r="C93" s="10">
        <v>2017.0</v>
      </c>
      <c r="D93" s="10">
        <v>4.9</v>
      </c>
      <c r="E93" s="10">
        <v>62.0</v>
      </c>
      <c r="F93" s="13">
        <v>6.460681</v>
      </c>
      <c r="G93" s="13">
        <v>7.704138</v>
      </c>
      <c r="H93" s="13">
        <v>1.143888</v>
      </c>
      <c r="I93" s="17">
        <f>ln(8880040000)</f>
        <v>22.9070719</v>
      </c>
      <c r="J93" s="10">
        <v>2.1</v>
      </c>
      <c r="K93" s="10">
        <v>18.3</v>
      </c>
      <c r="L93" s="10">
        <v>56.0</v>
      </c>
      <c r="M93" s="10">
        <v>6.7</v>
      </c>
      <c r="N93" s="10" t="s">
        <v>17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0" t="s">
        <v>47</v>
      </c>
      <c r="B94" s="10" t="s">
        <v>57</v>
      </c>
      <c r="C94" s="10">
        <v>2018.0</v>
      </c>
      <c r="D94" s="10">
        <v>4.4</v>
      </c>
      <c r="E94" s="10">
        <v>62.0</v>
      </c>
      <c r="F94" s="13">
        <v>2.310084</v>
      </c>
      <c r="G94" s="13">
        <v>2.135038</v>
      </c>
      <c r="H94" s="13">
        <v>1.006432</v>
      </c>
      <c r="I94" s="17">
        <f>ln(7760040000)</f>
        <v>22.77225333</v>
      </c>
      <c r="J94" s="10">
        <v>2.7</v>
      </c>
      <c r="K94" s="10">
        <v>17.6</v>
      </c>
      <c r="L94" s="10">
        <v>57.0</v>
      </c>
      <c r="M94" s="10">
        <v>4.9</v>
      </c>
      <c r="N94" s="10" t="s">
        <v>17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0" t="s">
        <v>47</v>
      </c>
      <c r="B95" s="10" t="s">
        <v>57</v>
      </c>
      <c r="C95" s="10">
        <v>2019.0</v>
      </c>
      <c r="D95" s="10">
        <v>4.7</v>
      </c>
      <c r="E95" s="10">
        <v>62.0</v>
      </c>
      <c r="F95" s="13">
        <v>-0.22048</v>
      </c>
      <c r="G95" s="13">
        <v>3.528394</v>
      </c>
      <c r="H95" s="13">
        <v>0.611876</v>
      </c>
      <c r="I95" s="17">
        <f>ln(3460040000)</f>
        <v>21.96454599</v>
      </c>
      <c r="J95" s="10">
        <v>2.5</v>
      </c>
      <c r="K95" s="10">
        <v>17.4</v>
      </c>
      <c r="L95" s="10">
        <v>58.0</v>
      </c>
      <c r="M95" s="10">
        <v>4.4</v>
      </c>
      <c r="N95" s="10" t="s">
        <v>17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0" t="s">
        <v>47</v>
      </c>
      <c r="B96" s="10" t="s">
        <v>57</v>
      </c>
      <c r="C96" s="10">
        <v>2020.0</v>
      </c>
      <c r="D96" s="10">
        <v>4.3</v>
      </c>
      <c r="E96" s="10">
        <v>62.0</v>
      </c>
      <c r="F96" s="13">
        <v>-4.62452</v>
      </c>
      <c r="G96" s="13">
        <v>6.153945</v>
      </c>
      <c r="H96" s="13">
        <v>0.530627</v>
      </c>
      <c r="I96" s="17">
        <f>ln(3560040000)</f>
        <v>21.99303762</v>
      </c>
      <c r="J96" s="10">
        <v>1.9</v>
      </c>
      <c r="K96" s="10">
        <v>16.7</v>
      </c>
      <c r="L96" s="10">
        <v>59.0</v>
      </c>
      <c r="M96" s="10">
        <v>4.7</v>
      </c>
      <c r="N96" s="10" t="s">
        <v>17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0" t="s">
        <v>47</v>
      </c>
      <c r="B97" s="10" t="s">
        <v>57</v>
      </c>
      <c r="C97" s="10">
        <v>2021.0</v>
      </c>
      <c r="D97" s="10">
        <v>4.6</v>
      </c>
      <c r="E97" s="10">
        <v>63.0</v>
      </c>
      <c r="F97" s="13">
        <v>4.207476</v>
      </c>
      <c r="G97" s="13">
        <v>7.014781</v>
      </c>
      <c r="H97" s="13">
        <v>1.07545</v>
      </c>
      <c r="I97" s="17">
        <f>ln(3660040000)</f>
        <v>22.02073991</v>
      </c>
      <c r="J97" s="10">
        <v>1.87</v>
      </c>
      <c r="K97" s="10">
        <v>16.2</v>
      </c>
      <c r="L97" s="10">
        <v>60.0</v>
      </c>
      <c r="M97" s="10">
        <v>4.3</v>
      </c>
      <c r="N97" s="10" t="s">
        <v>17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0" t="s">
        <v>47</v>
      </c>
      <c r="B98" s="10" t="s">
        <v>57</v>
      </c>
      <c r="C98" s="10">
        <v>2022.0</v>
      </c>
      <c r="D98" s="10">
        <v>5.7</v>
      </c>
      <c r="E98" s="10">
        <v>64.0</v>
      </c>
      <c r="F98" s="13">
        <v>-7.34919</v>
      </c>
      <c r="G98" s="13">
        <v>49.7211</v>
      </c>
      <c r="H98" s="13">
        <v>0.112773</v>
      </c>
      <c r="I98" s="17">
        <f>ln(6060040000)</f>
        <v>22.52498224</v>
      </c>
      <c r="J98" s="10">
        <v>1.44</v>
      </c>
      <c r="K98" s="10">
        <v>17.8</v>
      </c>
      <c r="L98" s="10">
        <v>61.0</v>
      </c>
      <c r="M98" s="10">
        <v>4.6</v>
      </c>
      <c r="N98" s="10" t="s">
        <v>17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0" t="s">
        <v>47</v>
      </c>
      <c r="B99" s="10" t="s">
        <v>57</v>
      </c>
      <c r="C99" s="10">
        <v>2023.0</v>
      </c>
      <c r="D99" s="10">
        <v>5.4</v>
      </c>
      <c r="E99" s="10">
        <v>66.0</v>
      </c>
      <c r="F99" s="13">
        <v>-2.32985</v>
      </c>
      <c r="G99" s="13">
        <v>16.54117</v>
      </c>
      <c r="H99" s="13">
        <v>-0.65132</v>
      </c>
      <c r="I99" s="17">
        <f>ln(5960040000)</f>
        <v>22.50834303</v>
      </c>
      <c r="J99" s="10">
        <v>1.56</v>
      </c>
      <c r="K99" s="10">
        <v>17.9</v>
      </c>
      <c r="L99" s="10">
        <v>62.0</v>
      </c>
      <c r="M99" s="10">
        <v>5.7</v>
      </c>
      <c r="N99" s="10" t="s">
        <v>17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0" t="s">
        <v>47</v>
      </c>
      <c r="B100" s="10" t="s">
        <v>57</v>
      </c>
      <c r="C100" s="10">
        <v>2024.0</v>
      </c>
      <c r="D100" s="10">
        <v>5.9</v>
      </c>
      <c r="E100" s="10">
        <v>68.0</v>
      </c>
      <c r="F100" s="13">
        <v>5.008719</v>
      </c>
      <c r="G100" s="13">
        <v>-0.42936</v>
      </c>
      <c r="H100" s="13">
        <v>-0.55059</v>
      </c>
      <c r="I100" s="17">
        <f>ln(5160040000)</f>
        <v>22.36421017</v>
      </c>
      <c r="J100" s="10">
        <v>1.67</v>
      </c>
      <c r="K100" s="10">
        <v>22.0</v>
      </c>
      <c r="L100" s="10">
        <v>63.0</v>
      </c>
      <c r="M100" s="10">
        <v>5.4</v>
      </c>
      <c r="N100" s="10" t="s">
        <v>17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0" t="s">
        <v>47</v>
      </c>
      <c r="B101" s="10" t="s">
        <v>58</v>
      </c>
      <c r="C101" s="10">
        <v>2014.0</v>
      </c>
      <c r="D101" s="10">
        <v>4.4</v>
      </c>
      <c r="E101" s="10">
        <v>62.0</v>
      </c>
      <c r="F101" s="13">
        <v>6.377979</v>
      </c>
      <c r="G101" s="13">
        <v>3.179002</v>
      </c>
      <c r="H101" s="13">
        <v>0.933208</v>
      </c>
      <c r="I101" s="17">
        <f>ln(1960000000)</f>
        <v>21.39621031</v>
      </c>
      <c r="J101" s="1">
        <v>0.85</v>
      </c>
      <c r="K101" s="10">
        <v>9.5</v>
      </c>
      <c r="L101" s="10">
        <v>0.0</v>
      </c>
      <c r="M101" s="10">
        <v>3.9</v>
      </c>
      <c r="N101" s="10" t="s">
        <v>17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0" t="s">
        <v>47</v>
      </c>
      <c r="B102" s="10" t="s">
        <v>58</v>
      </c>
      <c r="C102" s="10">
        <v>2015.0</v>
      </c>
      <c r="D102" s="10">
        <v>3.9</v>
      </c>
      <c r="E102" s="10">
        <v>63.0</v>
      </c>
      <c r="F102" s="13">
        <v>4.205955</v>
      </c>
      <c r="G102" s="13">
        <v>3.768368</v>
      </c>
      <c r="H102" s="13">
        <v>0.919811</v>
      </c>
      <c r="I102" s="17">
        <f>ln(2260000000)</f>
        <v>21.53863065</v>
      </c>
      <c r="J102" s="1">
        <v>0.9</v>
      </c>
      <c r="K102" s="10">
        <v>10.0</v>
      </c>
      <c r="L102" s="10">
        <v>1.0</v>
      </c>
      <c r="M102" s="10">
        <v>4.4</v>
      </c>
      <c r="N102" s="10" t="s">
        <v>17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0" t="s">
        <v>47</v>
      </c>
      <c r="B103" s="10" t="s">
        <v>58</v>
      </c>
      <c r="C103" s="10">
        <v>2016.0</v>
      </c>
      <c r="D103" s="10">
        <v>3.8</v>
      </c>
      <c r="E103" s="10">
        <v>64.0</v>
      </c>
      <c r="F103" s="13">
        <v>5.053625</v>
      </c>
      <c r="G103" s="13">
        <v>3.958888</v>
      </c>
      <c r="H103" s="13">
        <v>1.133277</v>
      </c>
      <c r="I103" s="17">
        <f>ln(2460000000)</f>
        <v>21.62342719</v>
      </c>
      <c r="J103" s="1">
        <v>0.95</v>
      </c>
      <c r="K103" s="10">
        <v>10.5</v>
      </c>
      <c r="L103" s="10">
        <v>2.0</v>
      </c>
      <c r="M103" s="10">
        <v>3.9</v>
      </c>
      <c r="N103" s="10" t="s">
        <v>17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0" t="s">
        <v>47</v>
      </c>
      <c r="B104" s="10" t="s">
        <v>58</v>
      </c>
      <c r="C104" s="10">
        <v>2017.0</v>
      </c>
      <c r="D104" s="10">
        <v>4.6</v>
      </c>
      <c r="E104" s="10">
        <v>62.0</v>
      </c>
      <c r="F104" s="13">
        <v>6.460681</v>
      </c>
      <c r="G104" s="13">
        <v>7.704138</v>
      </c>
      <c r="H104" s="13">
        <v>1.143888</v>
      </c>
      <c r="I104" s="17">
        <f>ln(1760002300)</f>
        <v>21.28858095</v>
      </c>
      <c r="J104" s="1">
        <v>0.8</v>
      </c>
      <c r="K104" s="10">
        <v>9.0</v>
      </c>
      <c r="L104" s="10">
        <v>3.0</v>
      </c>
      <c r="M104" s="10">
        <v>3.8</v>
      </c>
      <c r="N104" s="10" t="s">
        <v>17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0" t="s">
        <v>47</v>
      </c>
      <c r="B105" s="10" t="s">
        <v>58</v>
      </c>
      <c r="C105" s="10">
        <v>2018.0</v>
      </c>
      <c r="D105" s="10">
        <v>4.7</v>
      </c>
      <c r="E105" s="10">
        <v>62.0</v>
      </c>
      <c r="F105" s="13">
        <v>2.310084</v>
      </c>
      <c r="G105" s="13">
        <v>2.135038</v>
      </c>
      <c r="H105" s="13">
        <v>1.006432</v>
      </c>
      <c r="I105" s="17">
        <f>ln(4360000000)</f>
        <v>22.19573789</v>
      </c>
      <c r="J105" s="1">
        <v>0.78</v>
      </c>
      <c r="K105" s="10">
        <v>8.8</v>
      </c>
      <c r="L105" s="10">
        <v>4.0</v>
      </c>
      <c r="M105" s="10">
        <v>4.6</v>
      </c>
      <c r="N105" s="10" t="s">
        <v>17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0" t="s">
        <v>47</v>
      </c>
      <c r="B106" s="10" t="s">
        <v>58</v>
      </c>
      <c r="C106" s="10">
        <v>2019.0</v>
      </c>
      <c r="D106" s="10">
        <v>4.1</v>
      </c>
      <c r="E106" s="10">
        <v>62.0</v>
      </c>
      <c r="F106" s="13">
        <v>-0.22048</v>
      </c>
      <c r="G106" s="13">
        <v>3.528394</v>
      </c>
      <c r="H106" s="13">
        <v>0.611876</v>
      </c>
      <c r="I106" s="17">
        <f>ln(5760000000)</f>
        <v>22.47420331</v>
      </c>
      <c r="J106" s="1">
        <v>0.85</v>
      </c>
      <c r="K106" s="10">
        <v>9.5</v>
      </c>
      <c r="L106" s="10">
        <v>5.0</v>
      </c>
      <c r="M106" s="10">
        <v>4.7</v>
      </c>
      <c r="N106" s="10" t="s">
        <v>17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0" t="s">
        <v>47</v>
      </c>
      <c r="B107" s="10" t="s">
        <v>58</v>
      </c>
      <c r="C107" s="10">
        <v>2020.0</v>
      </c>
      <c r="D107" s="10">
        <v>5.4</v>
      </c>
      <c r="E107" s="10">
        <v>62.0</v>
      </c>
      <c r="F107" s="13">
        <v>-4.62452</v>
      </c>
      <c r="G107" s="13">
        <v>6.153945</v>
      </c>
      <c r="H107" s="13">
        <v>0.530627</v>
      </c>
      <c r="I107" s="17">
        <f>ln(4560000000)</f>
        <v>22.24058846</v>
      </c>
      <c r="J107" s="1">
        <v>0.7</v>
      </c>
      <c r="K107" s="10">
        <v>8.0</v>
      </c>
      <c r="L107" s="10">
        <v>6.0</v>
      </c>
      <c r="M107" s="10">
        <v>4.1</v>
      </c>
      <c r="N107" s="10" t="s">
        <v>17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0" t="s">
        <v>47</v>
      </c>
      <c r="B108" s="10" t="s">
        <v>58</v>
      </c>
      <c r="C108" s="10">
        <v>2021.0</v>
      </c>
      <c r="D108" s="10">
        <v>5.6</v>
      </c>
      <c r="E108" s="10">
        <v>63.0</v>
      </c>
      <c r="F108" s="13">
        <v>4.207476</v>
      </c>
      <c r="G108" s="13">
        <v>7.014781</v>
      </c>
      <c r="H108" s="13">
        <v>1.07545</v>
      </c>
      <c r="I108" s="17">
        <f>ln(4440000000)</f>
        <v>22.21392021</v>
      </c>
      <c r="J108" s="1">
        <v>0.68</v>
      </c>
      <c r="K108" s="10">
        <v>7.0</v>
      </c>
      <c r="L108" s="10">
        <v>7.0</v>
      </c>
      <c r="M108" s="10">
        <v>5.4</v>
      </c>
      <c r="N108" s="10" t="s">
        <v>17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0" t="s">
        <v>47</v>
      </c>
      <c r="B109" s="10" t="s">
        <v>58</v>
      </c>
      <c r="C109" s="10">
        <v>2022.0</v>
      </c>
      <c r="D109" s="10">
        <v>4.6</v>
      </c>
      <c r="E109" s="10">
        <v>64.0</v>
      </c>
      <c r="F109" s="13">
        <v>-7.34919</v>
      </c>
      <c r="G109" s="13">
        <v>49.7211</v>
      </c>
      <c r="H109" s="13">
        <v>0.112773</v>
      </c>
      <c r="I109" s="17">
        <f>ln(1880000000)</f>
        <v>21.35453761</v>
      </c>
      <c r="J109" s="1">
        <v>0.8</v>
      </c>
      <c r="K109" s="10">
        <v>9.0</v>
      </c>
      <c r="L109" s="10">
        <v>8.0</v>
      </c>
      <c r="M109" s="10">
        <v>5.6</v>
      </c>
      <c r="N109" s="10" t="s">
        <v>17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0" t="s">
        <v>47</v>
      </c>
      <c r="B110" s="10" t="s">
        <v>58</v>
      </c>
      <c r="C110" s="10">
        <v>2023.0</v>
      </c>
      <c r="D110" s="10">
        <v>4.9</v>
      </c>
      <c r="E110" s="10">
        <v>66.0</v>
      </c>
      <c r="F110" s="13">
        <v>-2.32985</v>
      </c>
      <c r="G110" s="13">
        <v>16.54117</v>
      </c>
      <c r="H110" s="13">
        <v>-0.65132</v>
      </c>
      <c r="I110" s="17">
        <f>ln(1990000000)</f>
        <v>21.41140048</v>
      </c>
      <c r="J110" s="1">
        <v>0.7</v>
      </c>
      <c r="K110" s="10">
        <v>8.5</v>
      </c>
      <c r="L110" s="10">
        <v>9.0</v>
      </c>
      <c r="M110" s="10">
        <v>4.6</v>
      </c>
      <c r="N110" s="10" t="s">
        <v>17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0" t="s">
        <v>47</v>
      </c>
      <c r="B111" s="10" t="s">
        <v>58</v>
      </c>
      <c r="C111" s="10">
        <v>2024.0</v>
      </c>
      <c r="D111" s="10">
        <v>5.5</v>
      </c>
      <c r="E111" s="10">
        <v>68.0</v>
      </c>
      <c r="F111" s="13">
        <v>5.008719</v>
      </c>
      <c r="G111" s="13">
        <v>-0.42936</v>
      </c>
      <c r="H111" s="13">
        <v>-0.55059</v>
      </c>
      <c r="I111" s="17">
        <f>LN(18041816000)</f>
        <v>23.61595801</v>
      </c>
      <c r="J111" s="1">
        <v>1.8</v>
      </c>
      <c r="K111" s="10">
        <v>7.7</v>
      </c>
      <c r="L111" s="10">
        <v>10.0</v>
      </c>
      <c r="M111" s="10">
        <v>4.9</v>
      </c>
      <c r="N111" s="10" t="s">
        <v>17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0" t="s">
        <v>47</v>
      </c>
      <c r="B112" s="20" t="s">
        <v>59</v>
      </c>
      <c r="C112" s="10">
        <v>2014.0</v>
      </c>
      <c r="D112" s="10">
        <v>3.0</v>
      </c>
      <c r="E112" s="10">
        <v>62.0</v>
      </c>
      <c r="F112" s="13">
        <v>6.377979</v>
      </c>
      <c r="G112" s="13">
        <v>3.179002</v>
      </c>
      <c r="H112" s="13">
        <v>0.933208</v>
      </c>
      <c r="I112" s="11">
        <f>LN(17641816000)</f>
        <v>23.59353783</v>
      </c>
      <c r="J112" s="10">
        <v>1.6</v>
      </c>
      <c r="K112" s="10">
        <v>7.9</v>
      </c>
      <c r="L112" s="10">
        <v>19.0</v>
      </c>
      <c r="M112" s="10">
        <v>3.5</v>
      </c>
      <c r="N112" s="10" t="s">
        <v>17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0" t="s">
        <v>47</v>
      </c>
      <c r="B113" s="20" t="s">
        <v>59</v>
      </c>
      <c r="C113" s="10">
        <v>2015.0</v>
      </c>
      <c r="D113" s="10">
        <v>3.6</v>
      </c>
      <c r="E113" s="10">
        <v>63.0</v>
      </c>
      <c r="F113" s="13">
        <v>4.205955</v>
      </c>
      <c r="G113" s="13">
        <v>3.768368</v>
      </c>
      <c r="H113" s="13">
        <v>0.919811</v>
      </c>
      <c r="I113" s="17">
        <f>LN(17031816000)</f>
        <v>23.55834896</v>
      </c>
      <c r="J113" s="10">
        <v>2.2</v>
      </c>
      <c r="K113" s="10">
        <v>8.2</v>
      </c>
      <c r="L113" s="10">
        <v>20.0</v>
      </c>
      <c r="M113" s="10">
        <v>3.0</v>
      </c>
      <c r="N113" s="10" t="s">
        <v>17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0" t="s">
        <v>47</v>
      </c>
      <c r="B114" s="20" t="s">
        <v>59</v>
      </c>
      <c r="C114" s="10">
        <v>2016.0</v>
      </c>
      <c r="D114" s="10">
        <v>4.5</v>
      </c>
      <c r="E114" s="10">
        <v>64.0</v>
      </c>
      <c r="F114" s="13">
        <v>5.053625</v>
      </c>
      <c r="G114" s="13">
        <v>3.958888</v>
      </c>
      <c r="H114" s="13">
        <v>1.133277</v>
      </c>
      <c r="I114" s="17">
        <f>LN(14441816000)</f>
        <v>23.39339372</v>
      </c>
      <c r="J114" s="10">
        <v>2.5</v>
      </c>
      <c r="K114" s="10">
        <v>8.5</v>
      </c>
      <c r="L114" s="10">
        <v>21.0</v>
      </c>
      <c r="M114" s="10">
        <v>3.6</v>
      </c>
      <c r="N114" s="10" t="s">
        <v>17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0" t="s">
        <v>47</v>
      </c>
      <c r="B115" s="20" t="s">
        <v>59</v>
      </c>
      <c r="C115" s="10">
        <v>2017.0</v>
      </c>
      <c r="D115" s="10">
        <v>4.9</v>
      </c>
      <c r="E115" s="10">
        <v>62.0</v>
      </c>
      <c r="F115" s="13">
        <v>6.460681</v>
      </c>
      <c r="G115" s="13">
        <v>7.704138</v>
      </c>
      <c r="H115" s="13">
        <v>1.143888</v>
      </c>
      <c r="I115" s="17">
        <f>LN(18471816000)</f>
        <v>23.63951195</v>
      </c>
      <c r="J115" s="10">
        <v>2.7</v>
      </c>
      <c r="K115" s="10">
        <v>8.4</v>
      </c>
      <c r="L115" s="10">
        <v>22.0</v>
      </c>
      <c r="M115" s="10">
        <v>4.5</v>
      </c>
      <c r="N115" s="10" t="s">
        <v>17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0" t="s">
        <v>47</v>
      </c>
      <c r="B116" s="20" t="s">
        <v>59</v>
      </c>
      <c r="C116" s="10">
        <v>2018.0</v>
      </c>
      <c r="D116" s="10">
        <v>5.8</v>
      </c>
      <c r="E116" s="10">
        <v>62.0</v>
      </c>
      <c r="F116" s="13">
        <v>2.310084</v>
      </c>
      <c r="G116" s="13">
        <v>2.135038</v>
      </c>
      <c r="H116" s="13">
        <v>1.006432</v>
      </c>
      <c r="I116" s="17">
        <f>LN(19991816000)</f>
        <v>23.71858883</v>
      </c>
      <c r="J116" s="10">
        <v>3.3</v>
      </c>
      <c r="K116" s="10">
        <v>7.8</v>
      </c>
      <c r="L116" s="10">
        <v>23.0</v>
      </c>
      <c r="M116" s="10">
        <v>4.9</v>
      </c>
      <c r="N116" s="10" t="s">
        <v>17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0" t="s">
        <v>47</v>
      </c>
      <c r="B117" s="20" t="s">
        <v>59</v>
      </c>
      <c r="C117" s="10">
        <v>2019.0</v>
      </c>
      <c r="D117" s="10">
        <v>5.1</v>
      </c>
      <c r="E117" s="10">
        <v>62.0</v>
      </c>
      <c r="F117" s="13">
        <v>-0.22048</v>
      </c>
      <c r="G117" s="13">
        <v>3.528394</v>
      </c>
      <c r="H117" s="13">
        <v>0.611876</v>
      </c>
      <c r="I117" s="17">
        <f>LN(18791816000)</f>
        <v>23.65668729</v>
      </c>
      <c r="J117" s="10">
        <v>3.6</v>
      </c>
      <c r="K117" s="10">
        <v>7.1</v>
      </c>
      <c r="L117" s="10">
        <v>24.0</v>
      </c>
      <c r="M117" s="10">
        <v>5.8</v>
      </c>
      <c r="N117" s="10" t="s">
        <v>17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0" t="s">
        <v>47</v>
      </c>
      <c r="B118" s="20" t="s">
        <v>59</v>
      </c>
      <c r="C118" s="10">
        <v>2020.0</v>
      </c>
      <c r="D118" s="10">
        <v>5.7</v>
      </c>
      <c r="E118" s="10">
        <v>62.0</v>
      </c>
      <c r="F118" s="13">
        <v>-4.62452</v>
      </c>
      <c r="G118" s="13">
        <v>6.153945</v>
      </c>
      <c r="H118" s="13">
        <v>0.530627</v>
      </c>
      <c r="I118" s="17">
        <f>LN(18061816000)</f>
        <v>23.61706593</v>
      </c>
      <c r="J118" s="10">
        <v>3.4</v>
      </c>
      <c r="K118" s="10">
        <v>7.4</v>
      </c>
      <c r="L118" s="10">
        <v>25.0</v>
      </c>
      <c r="M118" s="10">
        <v>5.1</v>
      </c>
      <c r="N118" s="10" t="s">
        <v>17</v>
      </c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0" t="s">
        <v>47</v>
      </c>
      <c r="B119" s="20" t="s">
        <v>59</v>
      </c>
      <c r="C119" s="10">
        <v>2021.0</v>
      </c>
      <c r="D119" s="10">
        <v>4.5</v>
      </c>
      <c r="E119" s="10">
        <v>63.0</v>
      </c>
      <c r="F119" s="13">
        <v>4.207476</v>
      </c>
      <c r="G119" s="13">
        <v>7.014781</v>
      </c>
      <c r="H119" s="13">
        <v>1.07545</v>
      </c>
      <c r="I119" s="17">
        <f>LN(19041816000)</f>
        <v>23.66990324</v>
      </c>
      <c r="J119" s="10">
        <v>2.9</v>
      </c>
      <c r="K119" s="10">
        <v>7.9</v>
      </c>
      <c r="L119" s="10">
        <v>26.0</v>
      </c>
      <c r="M119" s="10">
        <v>5.7</v>
      </c>
      <c r="N119" s="10" t="s">
        <v>17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0" t="s">
        <v>47</v>
      </c>
      <c r="B120" s="20" t="s">
        <v>59</v>
      </c>
      <c r="C120" s="10">
        <v>2022.0</v>
      </c>
      <c r="D120" s="10">
        <v>4.9</v>
      </c>
      <c r="E120" s="10">
        <v>64.0</v>
      </c>
      <c r="F120" s="13">
        <v>-7.34919</v>
      </c>
      <c r="G120" s="13">
        <v>49.7211</v>
      </c>
      <c r="H120" s="13">
        <v>0.112773</v>
      </c>
      <c r="I120" s="17">
        <f>LN(18761816000)</f>
        <v>23.65508958</v>
      </c>
      <c r="J120" s="10">
        <v>3.1</v>
      </c>
      <c r="K120" s="10">
        <v>8.8</v>
      </c>
      <c r="L120" s="10">
        <v>27.0</v>
      </c>
      <c r="M120" s="10">
        <v>4.5</v>
      </c>
      <c r="N120" s="10" t="s">
        <v>17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0" t="s">
        <v>47</v>
      </c>
      <c r="B121" s="20" t="s">
        <v>59</v>
      </c>
      <c r="C121" s="10">
        <v>2023.0</v>
      </c>
      <c r="D121" s="10">
        <v>3.9</v>
      </c>
      <c r="E121" s="10">
        <v>66.0</v>
      </c>
      <c r="F121" s="13">
        <v>-2.32985</v>
      </c>
      <c r="G121" s="13">
        <v>16.54117</v>
      </c>
      <c r="H121" s="13">
        <v>-0.65132</v>
      </c>
      <c r="I121" s="17">
        <f>LN(18047716000)</f>
        <v>23.61628498</v>
      </c>
      <c r="J121" s="10">
        <v>3.8</v>
      </c>
      <c r="K121" s="10">
        <v>7.8</v>
      </c>
      <c r="L121" s="10">
        <v>28.0</v>
      </c>
      <c r="M121" s="10">
        <v>4.9</v>
      </c>
      <c r="N121" s="10" t="s">
        <v>17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0" t="s">
        <v>47</v>
      </c>
      <c r="B122" s="20" t="s">
        <v>59</v>
      </c>
      <c r="C122" s="10">
        <v>2024.0</v>
      </c>
      <c r="D122" s="10">
        <v>3.6</v>
      </c>
      <c r="E122" s="10">
        <v>68.0</v>
      </c>
      <c r="F122" s="13">
        <v>5.008719</v>
      </c>
      <c r="G122" s="13">
        <v>-0.42936</v>
      </c>
      <c r="H122" s="13">
        <v>-0.55059</v>
      </c>
      <c r="I122" s="17">
        <f>LN(18048716000)</f>
        <v>23.61634038</v>
      </c>
      <c r="J122" s="10">
        <v>3.5</v>
      </c>
      <c r="K122" s="10">
        <v>7.4</v>
      </c>
      <c r="L122" s="10">
        <v>29.0</v>
      </c>
      <c r="M122" s="10">
        <v>3.9</v>
      </c>
      <c r="N122" s="10" t="s">
        <v>17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0" t="s">
        <v>47</v>
      </c>
      <c r="B123" s="10" t="s">
        <v>60</v>
      </c>
      <c r="C123" s="10">
        <v>2014.0</v>
      </c>
      <c r="D123" s="10">
        <v>4.82</v>
      </c>
      <c r="E123" s="10">
        <v>62.0</v>
      </c>
      <c r="F123" s="13">
        <v>6.377979</v>
      </c>
      <c r="G123" s="13">
        <v>3.179002</v>
      </c>
      <c r="H123" s="13">
        <v>0.933208</v>
      </c>
      <c r="I123" s="17">
        <f>ln(685897000)</f>
        <v>20.34623803</v>
      </c>
      <c r="J123" s="10">
        <v>0.78</v>
      </c>
      <c r="K123" s="10">
        <v>9.71</v>
      </c>
      <c r="L123" s="10">
        <v>11.0</v>
      </c>
      <c r="M123" s="4">
        <v>4.53</v>
      </c>
      <c r="N123" s="10" t="s">
        <v>17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0" t="s">
        <v>47</v>
      </c>
      <c r="B124" s="10" t="s">
        <v>60</v>
      </c>
      <c r="C124" s="10">
        <v>2015.0</v>
      </c>
      <c r="D124" s="10">
        <v>4.56</v>
      </c>
      <c r="E124" s="10">
        <v>63.0</v>
      </c>
      <c r="F124" s="13">
        <v>4.205955</v>
      </c>
      <c r="G124" s="13">
        <v>3.768368</v>
      </c>
      <c r="H124" s="13">
        <v>0.919811</v>
      </c>
      <c r="I124" s="17">
        <f>ln(755218000)</f>
        <v>20.44251701</v>
      </c>
      <c r="J124" s="10">
        <v>1.09</v>
      </c>
      <c r="K124" s="10">
        <v>14.34</v>
      </c>
      <c r="L124" s="10">
        <v>12.0</v>
      </c>
      <c r="M124" s="6">
        <v>4.82</v>
      </c>
      <c r="N124" s="10" t="s">
        <v>17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0" t="s">
        <v>47</v>
      </c>
      <c r="B125" s="10" t="s">
        <v>60</v>
      </c>
      <c r="C125" s="10">
        <v>2016.0</v>
      </c>
      <c r="D125" s="10">
        <v>4.74</v>
      </c>
      <c r="E125" s="10">
        <v>64.0</v>
      </c>
      <c r="F125" s="13">
        <v>5.053625</v>
      </c>
      <c r="G125" s="13">
        <v>3.958888</v>
      </c>
      <c r="H125" s="13">
        <v>1.133277</v>
      </c>
      <c r="I125" s="17">
        <f>ln(926163000)</f>
        <v>20.6465608</v>
      </c>
      <c r="J125" s="10">
        <v>1.32</v>
      </c>
      <c r="K125" s="10">
        <v>18.06</v>
      </c>
      <c r="L125" s="10">
        <v>13.0</v>
      </c>
      <c r="M125" s="4">
        <v>4.56</v>
      </c>
      <c r="N125" s="10" t="s">
        <v>17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0" t="s">
        <v>47</v>
      </c>
      <c r="B126" s="10" t="s">
        <v>60</v>
      </c>
      <c r="C126" s="10">
        <v>2017.0</v>
      </c>
      <c r="D126" s="10">
        <v>4.35</v>
      </c>
      <c r="E126" s="10">
        <v>62.0</v>
      </c>
      <c r="F126" s="13">
        <v>6.460681</v>
      </c>
      <c r="G126" s="13">
        <v>7.704138</v>
      </c>
      <c r="H126" s="13">
        <v>1.143888</v>
      </c>
      <c r="I126" s="17">
        <f>ln(1039966000)</f>
        <v>20.76245386</v>
      </c>
      <c r="J126" s="10">
        <v>1.21</v>
      </c>
      <c r="K126" s="10">
        <v>16.28</v>
      </c>
      <c r="L126" s="10">
        <v>14.0</v>
      </c>
      <c r="M126" s="4">
        <v>4.74</v>
      </c>
      <c r="N126" s="10" t="s">
        <v>17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0" t="s">
        <v>47</v>
      </c>
      <c r="B127" s="10" t="s">
        <v>60</v>
      </c>
      <c r="C127" s="10">
        <v>2018.0</v>
      </c>
      <c r="D127" s="10">
        <v>4.87</v>
      </c>
      <c r="E127" s="10">
        <v>62.0</v>
      </c>
      <c r="F127" s="13">
        <v>2.310084</v>
      </c>
      <c r="G127" s="13">
        <v>2.135038</v>
      </c>
      <c r="H127" s="13">
        <v>1.006432</v>
      </c>
      <c r="I127" s="17">
        <f>ln(964124000)</f>
        <v>20.68673048</v>
      </c>
      <c r="J127" s="10">
        <v>0.78</v>
      </c>
      <c r="K127" s="10">
        <v>9.78</v>
      </c>
      <c r="L127" s="10">
        <v>15.0</v>
      </c>
      <c r="M127" s="4">
        <v>4.35</v>
      </c>
      <c r="N127" s="10" t="s">
        <v>17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0" t="s">
        <v>47</v>
      </c>
      <c r="B128" s="10" t="s">
        <v>60</v>
      </c>
      <c r="C128" s="10">
        <v>2019.0</v>
      </c>
      <c r="D128" s="10">
        <v>6.45</v>
      </c>
      <c r="E128" s="10">
        <v>62.0</v>
      </c>
      <c r="F128" s="13">
        <v>-0.22048</v>
      </c>
      <c r="G128" s="13">
        <v>3.528394</v>
      </c>
      <c r="H128" s="13">
        <v>0.611876</v>
      </c>
      <c r="I128" s="17">
        <f>ln(996000000)</f>
        <v>20.71925782</v>
      </c>
      <c r="J128" s="10">
        <v>0.78</v>
      </c>
      <c r="K128" s="10">
        <v>9.75</v>
      </c>
      <c r="L128" s="10">
        <v>16.0</v>
      </c>
      <c r="M128" s="4">
        <v>4.87</v>
      </c>
      <c r="N128" s="10" t="s">
        <v>17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0" t="s">
        <v>47</v>
      </c>
      <c r="B129" s="10" t="s">
        <v>60</v>
      </c>
      <c r="C129" s="10">
        <v>2020.0</v>
      </c>
      <c r="D129" s="10">
        <v>6.4</v>
      </c>
      <c r="E129" s="10">
        <v>62.0</v>
      </c>
      <c r="F129" s="13">
        <v>-4.62452</v>
      </c>
      <c r="G129" s="13">
        <v>6.153945</v>
      </c>
      <c r="H129" s="13">
        <v>0.530627</v>
      </c>
      <c r="I129" s="17">
        <f>ln(1064287000)</f>
        <v>20.78557093</v>
      </c>
      <c r="J129" s="10">
        <v>1.04</v>
      </c>
      <c r="K129" s="10">
        <v>12.56</v>
      </c>
      <c r="L129" s="10">
        <v>17.0</v>
      </c>
      <c r="M129" s="4">
        <v>6.45</v>
      </c>
      <c r="N129" s="10" t="s">
        <v>17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0" t="s">
        <v>47</v>
      </c>
      <c r="B130" s="10" t="s">
        <v>60</v>
      </c>
      <c r="C130" s="10">
        <v>2021.0</v>
      </c>
      <c r="D130" s="10">
        <v>7.0</v>
      </c>
      <c r="E130" s="10">
        <v>63.0</v>
      </c>
      <c r="F130" s="13">
        <v>4.207476</v>
      </c>
      <c r="G130" s="13">
        <v>7.014781</v>
      </c>
      <c r="H130" s="13">
        <v>1.07545</v>
      </c>
      <c r="I130" s="21">
        <f>ln(1061833000)</f>
        <v>20.7832625</v>
      </c>
      <c r="J130" s="10">
        <v>1.5</v>
      </c>
      <c r="K130" s="10">
        <v>11.0</v>
      </c>
      <c r="L130" s="10">
        <v>18.0</v>
      </c>
      <c r="M130" s="4">
        <v>6.4</v>
      </c>
      <c r="N130" s="10" t="s">
        <v>17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0" t="s">
        <v>47</v>
      </c>
      <c r="B131" s="10" t="s">
        <v>60</v>
      </c>
      <c r="C131" s="10">
        <v>2022.0</v>
      </c>
      <c r="D131" s="10">
        <v>6.9</v>
      </c>
      <c r="E131" s="10">
        <v>64.0</v>
      </c>
      <c r="F131" s="13">
        <v>-7.34919</v>
      </c>
      <c r="G131" s="13">
        <v>49.7211</v>
      </c>
      <c r="H131" s="13">
        <v>0.112773</v>
      </c>
      <c r="I131" s="21">
        <f>ln(961833000)</f>
        <v>20.6843514</v>
      </c>
      <c r="J131" s="10">
        <v>1.2</v>
      </c>
      <c r="K131" s="10">
        <v>10.66</v>
      </c>
      <c r="L131" s="10">
        <v>19.0</v>
      </c>
      <c r="M131" s="4">
        <v>7.0</v>
      </c>
      <c r="N131" s="10" t="s">
        <v>17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0" t="s">
        <v>47</v>
      </c>
      <c r="B132" s="10" t="s">
        <v>60</v>
      </c>
      <c r="C132" s="10">
        <v>2023.0</v>
      </c>
      <c r="D132" s="10">
        <v>6.2</v>
      </c>
      <c r="E132" s="10">
        <v>66.0</v>
      </c>
      <c r="F132" s="13">
        <v>-2.32985</v>
      </c>
      <c r="G132" s="13">
        <v>16.54117</v>
      </c>
      <c r="H132" s="13">
        <v>-0.65132</v>
      </c>
      <c r="I132" s="21">
        <f>ln(761833000)</f>
        <v>20.45123793</v>
      </c>
      <c r="J132" s="10">
        <v>0.96</v>
      </c>
      <c r="K132" s="10">
        <v>8.66</v>
      </c>
      <c r="L132" s="10">
        <v>20.0</v>
      </c>
      <c r="M132" s="4">
        <v>6.9</v>
      </c>
      <c r="N132" s="10" t="s">
        <v>17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0" t="s">
        <v>47</v>
      </c>
      <c r="B133" s="10" t="s">
        <v>60</v>
      </c>
      <c r="C133" s="10">
        <v>2024.0</v>
      </c>
      <c r="D133" s="10">
        <v>5.81</v>
      </c>
      <c r="E133" s="10">
        <v>68.0</v>
      </c>
      <c r="F133" s="13">
        <v>5.008719</v>
      </c>
      <c r="G133" s="13">
        <v>-0.42936</v>
      </c>
      <c r="H133" s="13">
        <v>-0.55059</v>
      </c>
      <c r="I133" s="21">
        <f>ln(761844000)</f>
        <v>20.45125237</v>
      </c>
      <c r="J133" s="4">
        <v>0.86</v>
      </c>
      <c r="K133" s="4">
        <v>7.69</v>
      </c>
      <c r="L133" s="10">
        <v>21.0</v>
      </c>
      <c r="M133" s="4">
        <v>6.2</v>
      </c>
      <c r="N133" s="10" t="s">
        <v>17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0"/>
      <c r="B134" s="12"/>
      <c r="C134" s="12"/>
      <c r="D134" s="12"/>
      <c r="E134" s="12"/>
      <c r="F134" s="12"/>
      <c r="G134" s="12"/>
      <c r="H134" s="12"/>
      <c r="I134" s="17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0"/>
      <c r="B135" s="12"/>
      <c r="C135" s="12"/>
      <c r="D135" s="12"/>
      <c r="E135" s="12"/>
      <c r="F135" s="12"/>
      <c r="G135" s="12"/>
      <c r="H135" s="12"/>
      <c r="I135" s="17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0"/>
      <c r="B136" s="12"/>
      <c r="C136" s="12"/>
      <c r="D136" s="12"/>
      <c r="E136" s="12"/>
      <c r="F136" s="12"/>
      <c r="G136" s="12"/>
      <c r="H136" s="12"/>
      <c r="I136" s="17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0"/>
      <c r="B137" s="12"/>
      <c r="C137" s="12"/>
      <c r="D137" s="12"/>
      <c r="E137" s="12"/>
      <c r="F137" s="12"/>
      <c r="G137" s="12"/>
      <c r="H137" s="12"/>
      <c r="I137" s="17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0"/>
      <c r="B138" s="12"/>
      <c r="C138" s="12"/>
      <c r="D138" s="12"/>
      <c r="E138" s="12"/>
      <c r="F138" s="12"/>
      <c r="G138" s="12"/>
      <c r="H138" s="12"/>
      <c r="I138" s="17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7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7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7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7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7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7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7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7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7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7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7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7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7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7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7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7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7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7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7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7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7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7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7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7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7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7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7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7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7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7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7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7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7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7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7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7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7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7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7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7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7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7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7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7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7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7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7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7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7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7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7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7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7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7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7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7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7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7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7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7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7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7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7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7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7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7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7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7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7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7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7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7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7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7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7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7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7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7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7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7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7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7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7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7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7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7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7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7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7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7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7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7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7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7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7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7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7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7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7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7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7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7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7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7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7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7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7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7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7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7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7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7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7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7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7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7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7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7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7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7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7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7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7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7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7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7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7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7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7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7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7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7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7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7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7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7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7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7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7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7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7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7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7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7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7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7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7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7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7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7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7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7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7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7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7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7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7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7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7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7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7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7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7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7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7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7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7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7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7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7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7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7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7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7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7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7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7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7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7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7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7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7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7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7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7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7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7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7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7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7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7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7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7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7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7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7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7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7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7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7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7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7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7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7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7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7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7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7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7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7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7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7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7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7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7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7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7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7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7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7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7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7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7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7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7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7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7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7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7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7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7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7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7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7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7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7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7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7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7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7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7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7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7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7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7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7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7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7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7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7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7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7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7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7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7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7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7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7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7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7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7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7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7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7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7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7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7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7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7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7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7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7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7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7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7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7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7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7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7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7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7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7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7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7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7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7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7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7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7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7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7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7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7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7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7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7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7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7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7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7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7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7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7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7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7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7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7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7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7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7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7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7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7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7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7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7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7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7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7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7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7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7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7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7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7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7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7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7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7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7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7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7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7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7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7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7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7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7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7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7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7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7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7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7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7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7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7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7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7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7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7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7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7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7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7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7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7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7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7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7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7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7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7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7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7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7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7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7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7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7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7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7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7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7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7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7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7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7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7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7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7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7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7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7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7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7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7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7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7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7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7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7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7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7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7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7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7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7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7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7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7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7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7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7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7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7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7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7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7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7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7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7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7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7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7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7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7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7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7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7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7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7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7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7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7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7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7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7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7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7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7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7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7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7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7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7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7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7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7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7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7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7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7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7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7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7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7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7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7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7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7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7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7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7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7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7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7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7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7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7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7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7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7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7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7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7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7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7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7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7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7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7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7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7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7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7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7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7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7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7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7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7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7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7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7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7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7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7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7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7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7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7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7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7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7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7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7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7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7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7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7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7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7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7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7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7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7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7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7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7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7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7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7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7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7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7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7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7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7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7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7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7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7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7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7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7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7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7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7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7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7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7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7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7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7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7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7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7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7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7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7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7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7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7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7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7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7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7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7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7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7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7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7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7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7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7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7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7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7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7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7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7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7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7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7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7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7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7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7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7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7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7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7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7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7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7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7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7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7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7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7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7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7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7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7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7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7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7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7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7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7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7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7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7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7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7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7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7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7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7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7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7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7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7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7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7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7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7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7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7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7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7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7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7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7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7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7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7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7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7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7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7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7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7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7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7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7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7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7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7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7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7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7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7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7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7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7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7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7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7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7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7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7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7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7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7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7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7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7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7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7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7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7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7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7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7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7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7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7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7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7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7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7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7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7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7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7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7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7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7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7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7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7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7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7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7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7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7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7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7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7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7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7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7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7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7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7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7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7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7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7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7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7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7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7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7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7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7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7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7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7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7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7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7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7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7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7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7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7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7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7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7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7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7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7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7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7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7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7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7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7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7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7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7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7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7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7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7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7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7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7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7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7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7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7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7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7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7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7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7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7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7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7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7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7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7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7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7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7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7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7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7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7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7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7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7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7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7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7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7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7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7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7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7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7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7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7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7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7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7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7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7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7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7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7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7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7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7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7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7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7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7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7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7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7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7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7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7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7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7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7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7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7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7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7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7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7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7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7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7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7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7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7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7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7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7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7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7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7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7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7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7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7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7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7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7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7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7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7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7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7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7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7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7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7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7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7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7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7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7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7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7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7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7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7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7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7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7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7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7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7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7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7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7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7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7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7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7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7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7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7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7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7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7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7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7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7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7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7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7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7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7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61</v>
      </c>
      <c r="B2" s="1" t="s">
        <v>62</v>
      </c>
      <c r="C2" s="1">
        <v>2014.0</v>
      </c>
      <c r="D2" s="1">
        <v>5.9</v>
      </c>
      <c r="E2" s="1">
        <v>75.0</v>
      </c>
      <c r="F2" s="1">
        <v>6.1</v>
      </c>
      <c r="G2" s="1">
        <v>7.0</v>
      </c>
      <c r="H2" s="1">
        <v>0.9</v>
      </c>
      <c r="I2" s="1">
        <v>21.5474412799</v>
      </c>
      <c r="J2" s="1">
        <v>1.36</v>
      </c>
      <c r="K2" s="1">
        <v>10.64</v>
      </c>
      <c r="L2" s="1">
        <v>31.0</v>
      </c>
      <c r="M2" s="1">
        <v>8.1</v>
      </c>
      <c r="N2" s="1" t="s">
        <v>19</v>
      </c>
    </row>
    <row r="3">
      <c r="A3" s="1" t="s">
        <v>61</v>
      </c>
      <c r="B3" s="1" t="s">
        <v>62</v>
      </c>
      <c r="C3" s="1">
        <v>2015.0</v>
      </c>
      <c r="D3" s="1">
        <v>7.6</v>
      </c>
      <c r="E3" s="1">
        <v>75.0</v>
      </c>
      <c r="F3" s="1">
        <v>6.6</v>
      </c>
      <c r="G3" s="1">
        <v>6.2</v>
      </c>
      <c r="H3" s="1">
        <v>0.9</v>
      </c>
      <c r="I3" s="1">
        <v>21.7348667486</v>
      </c>
      <c r="J3" s="1">
        <v>1.8</v>
      </c>
      <c r="K3" s="1">
        <v>14.7</v>
      </c>
      <c r="L3" s="1">
        <v>32.0</v>
      </c>
      <c r="M3" s="1">
        <v>5.9</v>
      </c>
      <c r="N3" s="1" t="s">
        <v>19</v>
      </c>
    </row>
    <row r="4">
      <c r="A4" s="1" t="s">
        <v>61</v>
      </c>
      <c r="B4" s="1" t="s">
        <v>62</v>
      </c>
      <c r="C4" s="1">
        <v>2016.0</v>
      </c>
      <c r="D4" s="1">
        <v>6.0</v>
      </c>
      <c r="E4" s="1">
        <v>74.0</v>
      </c>
      <c r="F4" s="1">
        <v>7.1</v>
      </c>
      <c r="G4" s="1">
        <v>5.5</v>
      </c>
      <c r="H4" s="1">
        <v>0.9</v>
      </c>
      <c r="I4" s="1">
        <v>21.9187023103</v>
      </c>
      <c r="J4" s="1">
        <v>1.7</v>
      </c>
      <c r="K4" s="1">
        <v>15.5</v>
      </c>
      <c r="L4" s="1">
        <v>33.0</v>
      </c>
      <c r="M4" s="1">
        <v>7.6</v>
      </c>
      <c r="N4" s="1" t="s">
        <v>19</v>
      </c>
    </row>
    <row r="5">
      <c r="A5" s="1" t="s">
        <v>61</v>
      </c>
      <c r="B5" s="1" t="s">
        <v>62</v>
      </c>
      <c r="C5" s="1">
        <v>2017.0</v>
      </c>
      <c r="D5" s="1">
        <v>5.4</v>
      </c>
      <c r="E5" s="1">
        <v>72.0</v>
      </c>
      <c r="F5" s="1">
        <v>6.6</v>
      </c>
      <c r="G5" s="1">
        <v>5.7</v>
      </c>
      <c r="H5" s="1">
        <v>0.9</v>
      </c>
      <c r="I5" s="1">
        <v>21.9277385163</v>
      </c>
      <c r="J5" s="1">
        <v>1.4</v>
      </c>
      <c r="K5" s="1">
        <v>15.9</v>
      </c>
      <c r="L5" s="1">
        <v>34.0</v>
      </c>
      <c r="M5" s="1">
        <v>6.0</v>
      </c>
      <c r="N5" s="1" t="s">
        <v>19</v>
      </c>
      <c r="O5" s="1"/>
    </row>
    <row r="6">
      <c r="A6" s="1" t="s">
        <v>61</v>
      </c>
      <c r="B6" s="1" t="s">
        <v>62</v>
      </c>
      <c r="C6" s="1">
        <v>2018.0</v>
      </c>
      <c r="D6" s="1">
        <v>5.3</v>
      </c>
      <c r="E6" s="1">
        <v>74.0</v>
      </c>
      <c r="F6" s="1">
        <v>7.3</v>
      </c>
      <c r="G6" s="1">
        <v>5.5</v>
      </c>
      <c r="H6" s="1">
        <v>0.8</v>
      </c>
      <c r="I6" s="1">
        <v>22.0814178921</v>
      </c>
      <c r="J6" s="1">
        <v>0.7</v>
      </c>
      <c r="K6" s="1">
        <v>8.2</v>
      </c>
      <c r="L6" s="1">
        <v>35.0</v>
      </c>
      <c r="M6" s="1">
        <v>5.4</v>
      </c>
      <c r="N6" s="1" t="s">
        <v>19</v>
      </c>
    </row>
    <row r="7">
      <c r="A7" s="1" t="s">
        <v>61</v>
      </c>
      <c r="B7" s="1" t="s">
        <v>62</v>
      </c>
      <c r="C7" s="1">
        <v>2019.0</v>
      </c>
      <c r="D7" s="1">
        <v>5.8</v>
      </c>
      <c r="E7" s="1">
        <v>74.0</v>
      </c>
      <c r="F7" s="1">
        <v>7.9</v>
      </c>
      <c r="G7" s="1">
        <v>5.6</v>
      </c>
      <c r="H7" s="1">
        <v>0.8</v>
      </c>
      <c r="I7" s="1">
        <v>22.1535770835</v>
      </c>
      <c r="J7" s="1">
        <v>0.7</v>
      </c>
      <c r="K7" s="1">
        <v>9.9</v>
      </c>
      <c r="L7" s="1">
        <v>36.0</v>
      </c>
      <c r="M7" s="1">
        <v>5.3</v>
      </c>
      <c r="N7" s="1" t="s">
        <v>19</v>
      </c>
    </row>
    <row r="8">
      <c r="A8" s="1" t="s">
        <v>61</v>
      </c>
      <c r="B8" s="1" t="s">
        <v>62</v>
      </c>
      <c r="C8" s="1">
        <v>2020.0</v>
      </c>
      <c r="D8" s="1">
        <v>4.0</v>
      </c>
      <c r="E8" s="1">
        <v>74.0</v>
      </c>
      <c r="F8" s="1">
        <v>3.4</v>
      </c>
      <c r="G8" s="1">
        <v>5.7</v>
      </c>
      <c r="H8" s="1">
        <v>0.8</v>
      </c>
      <c r="I8" s="1">
        <v>22.2317778308</v>
      </c>
      <c r="J8" s="1">
        <v>1.1</v>
      </c>
      <c r="K8" s="1">
        <v>14.8</v>
      </c>
      <c r="L8" s="1">
        <v>37.0</v>
      </c>
      <c r="M8" s="1">
        <v>5.8</v>
      </c>
      <c r="N8" s="1" t="s">
        <v>19</v>
      </c>
    </row>
    <row r="9">
      <c r="A9" s="1" t="s">
        <v>61</v>
      </c>
      <c r="B9" s="1" t="s">
        <v>62</v>
      </c>
      <c r="C9" s="1">
        <v>2021.0</v>
      </c>
      <c r="D9" s="1">
        <v>4.9</v>
      </c>
      <c r="E9" s="1">
        <v>74.0</v>
      </c>
      <c r="F9" s="1">
        <v>6.9</v>
      </c>
      <c r="G9" s="1">
        <v>5.5</v>
      </c>
      <c r="H9" s="1">
        <v>0.8</v>
      </c>
      <c r="I9" s="1">
        <v>22.3104581404</v>
      </c>
      <c r="J9" s="1">
        <v>1.2</v>
      </c>
      <c r="K9" s="1">
        <v>15.8</v>
      </c>
      <c r="L9" s="1">
        <v>38.0</v>
      </c>
      <c r="M9" s="1">
        <v>4.0</v>
      </c>
      <c r="N9" s="1" t="s">
        <v>19</v>
      </c>
    </row>
    <row r="10">
      <c r="A10" s="1" t="s">
        <v>61</v>
      </c>
      <c r="B10" s="1" t="s">
        <v>62</v>
      </c>
      <c r="C10" s="1">
        <v>2022.0</v>
      </c>
      <c r="D10" s="1">
        <v>3.9</v>
      </c>
      <c r="E10" s="1">
        <v>75.0</v>
      </c>
      <c r="F10" s="1">
        <v>7.1</v>
      </c>
      <c r="G10" s="1">
        <v>7.7</v>
      </c>
      <c r="H10" s="1">
        <v>1.0</v>
      </c>
      <c r="I10" s="1">
        <v>22.2686984194</v>
      </c>
      <c r="J10" s="1">
        <v>1.0</v>
      </c>
      <c r="K10" s="1">
        <v>14.1</v>
      </c>
      <c r="L10" s="1">
        <v>39.0</v>
      </c>
      <c r="M10" s="1">
        <v>4.9</v>
      </c>
      <c r="N10" s="1" t="s">
        <v>19</v>
      </c>
    </row>
    <row r="11">
      <c r="A11" s="1" t="s">
        <v>61</v>
      </c>
      <c r="B11" s="1" t="s">
        <v>62</v>
      </c>
      <c r="C11" s="1">
        <v>2023.0</v>
      </c>
      <c r="D11" s="1">
        <v>3.6</v>
      </c>
      <c r="E11" s="1">
        <v>76.0</v>
      </c>
      <c r="F11" s="1">
        <v>5.8</v>
      </c>
      <c r="G11" s="1">
        <v>9.9</v>
      </c>
      <c r="H11" s="1">
        <v>1.2</v>
      </c>
      <c r="I11" s="1">
        <v>22.3430500414</v>
      </c>
      <c r="J11" s="1">
        <v>1.2</v>
      </c>
      <c r="K11" s="1">
        <v>17.6</v>
      </c>
      <c r="L11" s="1">
        <v>40.0</v>
      </c>
      <c r="M11" s="1">
        <v>3.9</v>
      </c>
      <c r="N11" s="1" t="s">
        <v>19</v>
      </c>
    </row>
    <row r="12">
      <c r="A12" s="1" t="s">
        <v>61</v>
      </c>
      <c r="B12" s="1" t="s">
        <v>62</v>
      </c>
      <c r="C12" s="1">
        <v>2024.0</v>
      </c>
      <c r="D12" s="1">
        <v>3.7</v>
      </c>
      <c r="E12" s="1">
        <v>77.0</v>
      </c>
      <c r="F12" s="1">
        <v>4.2</v>
      </c>
      <c r="G12" s="1">
        <v>10.5</v>
      </c>
      <c r="H12" s="1">
        <v>1.2</v>
      </c>
      <c r="I12" s="1">
        <v>22.5699868642</v>
      </c>
      <c r="J12" s="1">
        <v>1.56</v>
      </c>
      <c r="K12" s="1">
        <v>23.69</v>
      </c>
      <c r="L12" s="1">
        <v>41.0</v>
      </c>
      <c r="M12" s="1">
        <v>3.6</v>
      </c>
      <c r="N12" s="1" t="s">
        <v>19</v>
      </c>
    </row>
    <row r="13">
      <c r="A13" s="1" t="s">
        <v>61</v>
      </c>
      <c r="B13" s="1" t="s">
        <v>63</v>
      </c>
      <c r="C13" s="1">
        <v>2014.0</v>
      </c>
      <c r="D13" s="1">
        <v>4.62</v>
      </c>
      <c r="E13" s="1">
        <v>75.0</v>
      </c>
      <c r="F13" s="1">
        <v>6.1</v>
      </c>
      <c r="G13" s="1">
        <v>7.0</v>
      </c>
      <c r="H13" s="1">
        <v>0.9</v>
      </c>
      <c r="I13" s="1">
        <v>21.9543673087</v>
      </c>
      <c r="J13" s="1">
        <v>1.49</v>
      </c>
      <c r="K13" s="1">
        <v>17.07</v>
      </c>
      <c r="L13" s="1">
        <v>31.0</v>
      </c>
      <c r="M13" s="1">
        <v>4.03</v>
      </c>
      <c r="N13" s="1" t="s">
        <v>19</v>
      </c>
    </row>
    <row r="14">
      <c r="A14" s="1" t="s">
        <v>61</v>
      </c>
      <c r="B14" s="1" t="s">
        <v>63</v>
      </c>
      <c r="C14" s="1">
        <v>2015.0</v>
      </c>
      <c r="D14" s="1">
        <v>5.23</v>
      </c>
      <c r="E14" s="1">
        <v>75.0</v>
      </c>
      <c r="F14" s="1">
        <v>6.6</v>
      </c>
      <c r="G14" s="1">
        <v>6.2</v>
      </c>
      <c r="H14" s="1">
        <v>0.9</v>
      </c>
      <c r="I14" s="1">
        <v>22.0423514484</v>
      </c>
      <c r="J14" s="1">
        <v>1.42</v>
      </c>
      <c r="K14" s="1">
        <v>16.54</v>
      </c>
      <c r="L14" s="1">
        <v>32.0</v>
      </c>
      <c r="M14" s="1">
        <v>4.62</v>
      </c>
      <c r="N14" s="1" t="s">
        <v>19</v>
      </c>
    </row>
    <row r="15">
      <c r="A15" s="1" t="s">
        <v>61</v>
      </c>
      <c r="B15" s="1" t="s">
        <v>63</v>
      </c>
      <c r="C15" s="1">
        <v>2016.0</v>
      </c>
      <c r="D15" s="1">
        <v>8.01</v>
      </c>
      <c r="E15" s="1">
        <v>74.0</v>
      </c>
      <c r="F15" s="1">
        <v>7.1</v>
      </c>
      <c r="G15" s="1">
        <v>5.5</v>
      </c>
      <c r="H15" s="1">
        <v>0.9</v>
      </c>
      <c r="I15" s="1">
        <v>22.1391190003</v>
      </c>
      <c r="J15" s="1">
        <v>0.84</v>
      </c>
      <c r="K15" s="1">
        <v>10.24</v>
      </c>
      <c r="L15" s="1">
        <v>33.0</v>
      </c>
      <c r="M15" s="1">
        <v>5.23</v>
      </c>
      <c r="N15" s="1" t="s">
        <v>19</v>
      </c>
    </row>
    <row r="16">
      <c r="A16" s="1" t="s">
        <v>61</v>
      </c>
      <c r="B16" s="1" t="s">
        <v>63</v>
      </c>
      <c r="C16" s="1">
        <v>2017.0</v>
      </c>
      <c r="D16" s="1">
        <v>7.38</v>
      </c>
      <c r="E16" s="1">
        <v>72.0</v>
      </c>
      <c r="F16" s="1">
        <v>6.6</v>
      </c>
      <c r="G16" s="1">
        <v>5.7</v>
      </c>
      <c r="H16" s="1">
        <v>0.9</v>
      </c>
      <c r="I16" s="1">
        <v>22.2295629905</v>
      </c>
      <c r="J16" s="1">
        <v>0.67</v>
      </c>
      <c r="K16" s="1">
        <v>9.18</v>
      </c>
      <c r="L16" s="1">
        <v>34.0</v>
      </c>
      <c r="M16" s="1">
        <v>8.01</v>
      </c>
      <c r="N16" s="1" t="s">
        <v>19</v>
      </c>
    </row>
    <row r="17">
      <c r="A17" s="1" t="s">
        <v>61</v>
      </c>
      <c r="B17" s="1" t="s">
        <v>63</v>
      </c>
      <c r="C17" s="1">
        <v>2018.0</v>
      </c>
      <c r="D17" s="1">
        <v>6.79</v>
      </c>
      <c r="E17" s="1">
        <v>74.0</v>
      </c>
      <c r="F17" s="1">
        <v>7.3</v>
      </c>
      <c r="G17" s="1">
        <v>5.5</v>
      </c>
      <c r="H17" s="1">
        <v>0.8</v>
      </c>
      <c r="I17" s="1">
        <v>22.2793029727</v>
      </c>
      <c r="J17" s="1">
        <v>0.66</v>
      </c>
      <c r="K17" s="1">
        <v>9.27</v>
      </c>
      <c r="L17" s="1">
        <v>35.0</v>
      </c>
      <c r="M17" s="1">
        <v>7.38</v>
      </c>
      <c r="N17" s="1" t="s">
        <v>19</v>
      </c>
    </row>
    <row r="18">
      <c r="A18" s="1" t="s">
        <v>61</v>
      </c>
      <c r="B18" s="1" t="s">
        <v>63</v>
      </c>
      <c r="C18" s="1">
        <v>2019.0</v>
      </c>
      <c r="D18" s="1">
        <v>3.63</v>
      </c>
      <c r="E18" s="1">
        <v>74.0</v>
      </c>
      <c r="F18" s="1">
        <v>7.9</v>
      </c>
      <c r="G18" s="1">
        <v>5.6</v>
      </c>
      <c r="H18" s="1">
        <v>0.8</v>
      </c>
      <c r="I18" s="1">
        <v>22.3843469825</v>
      </c>
      <c r="J18" s="1">
        <v>0.62</v>
      </c>
      <c r="K18" s="1">
        <v>8.45</v>
      </c>
      <c r="L18" s="1">
        <v>36.0</v>
      </c>
      <c r="M18" s="1">
        <v>6.79</v>
      </c>
      <c r="N18" s="1" t="s">
        <v>19</v>
      </c>
    </row>
    <row r="19">
      <c r="A19" s="1" t="s">
        <v>61</v>
      </c>
      <c r="B19" s="1" t="s">
        <v>63</v>
      </c>
      <c r="C19" s="1">
        <v>2020.0</v>
      </c>
      <c r="D19" s="1">
        <v>2.55</v>
      </c>
      <c r="E19" s="1">
        <v>74.0</v>
      </c>
      <c r="F19" s="1">
        <v>3.4</v>
      </c>
      <c r="G19" s="1">
        <v>5.7</v>
      </c>
      <c r="H19" s="1">
        <v>0.8</v>
      </c>
      <c r="I19" s="1">
        <v>22.4840505019</v>
      </c>
      <c r="J19" s="1">
        <v>0.61</v>
      </c>
      <c r="K19" s="1">
        <v>8.42</v>
      </c>
      <c r="L19" s="1">
        <v>37.0</v>
      </c>
      <c r="M19" s="1">
        <v>3.63</v>
      </c>
      <c r="N19" s="1" t="s">
        <v>19</v>
      </c>
    </row>
    <row r="20">
      <c r="A20" s="1" t="s">
        <v>61</v>
      </c>
      <c r="B20" s="1" t="s">
        <v>63</v>
      </c>
      <c r="C20" s="1">
        <v>2021.0</v>
      </c>
      <c r="D20" s="1">
        <v>4.41</v>
      </c>
      <c r="E20" s="1">
        <v>74.0</v>
      </c>
      <c r="F20" s="1">
        <v>6.9</v>
      </c>
      <c r="G20" s="1">
        <v>5.5</v>
      </c>
      <c r="H20" s="1">
        <v>0.8</v>
      </c>
      <c r="I20" s="1">
        <v>22.6178826916</v>
      </c>
      <c r="J20" s="1">
        <v>0.56</v>
      </c>
      <c r="K20" s="1">
        <v>8.48</v>
      </c>
      <c r="L20" s="1">
        <v>38.0</v>
      </c>
      <c r="M20" s="1">
        <v>2.55</v>
      </c>
      <c r="N20" s="1" t="s">
        <v>19</v>
      </c>
    </row>
    <row r="21">
      <c r="A21" s="1" t="s">
        <v>61</v>
      </c>
      <c r="B21" s="1" t="s">
        <v>63</v>
      </c>
      <c r="C21" s="1">
        <v>2022.0</v>
      </c>
      <c r="D21" s="1">
        <v>6.99</v>
      </c>
      <c r="E21" s="1">
        <v>75.0</v>
      </c>
      <c r="F21" s="1">
        <v>7.1</v>
      </c>
      <c r="G21" s="1">
        <v>7.7</v>
      </c>
      <c r="H21" s="1">
        <v>1.0</v>
      </c>
      <c r="I21" s="1">
        <v>22.4931204708</v>
      </c>
      <c r="J21" s="1">
        <v>0.67</v>
      </c>
      <c r="K21" s="1">
        <v>10.27</v>
      </c>
      <c r="L21" s="1">
        <v>39.0</v>
      </c>
      <c r="M21" s="1">
        <v>4.41</v>
      </c>
      <c r="N21" s="1" t="s">
        <v>19</v>
      </c>
    </row>
    <row r="22">
      <c r="A22" s="1" t="s">
        <v>61</v>
      </c>
      <c r="B22" s="1" t="s">
        <v>63</v>
      </c>
      <c r="C22" s="1">
        <v>2023.0</v>
      </c>
      <c r="D22" s="1">
        <v>5.5</v>
      </c>
      <c r="E22" s="1">
        <v>76.0</v>
      </c>
      <c r="F22" s="1">
        <v>5.8</v>
      </c>
      <c r="G22" s="1">
        <v>9.9</v>
      </c>
      <c r="H22" s="1">
        <v>1.2</v>
      </c>
      <c r="I22" s="1">
        <v>22.6475144892</v>
      </c>
      <c r="J22" s="1">
        <v>0.41</v>
      </c>
      <c r="K22" s="1">
        <v>6.85</v>
      </c>
      <c r="L22" s="1">
        <v>40.0</v>
      </c>
      <c r="M22" s="1">
        <v>6.99</v>
      </c>
      <c r="N22" s="1" t="s">
        <v>19</v>
      </c>
    </row>
    <row r="23">
      <c r="A23" s="1" t="s">
        <v>61</v>
      </c>
      <c r="B23" s="1" t="s">
        <v>63</v>
      </c>
      <c r="C23" s="1">
        <v>2024.0</v>
      </c>
      <c r="D23" s="1">
        <v>14.9</v>
      </c>
      <c r="E23" s="1">
        <v>77.0</v>
      </c>
      <c r="F23" s="1">
        <v>4.2</v>
      </c>
      <c r="G23" s="1">
        <v>10.5</v>
      </c>
      <c r="H23" s="1">
        <v>1.2</v>
      </c>
      <c r="I23" s="1">
        <v>22.6605676115</v>
      </c>
      <c r="J23" s="1">
        <v>0.1</v>
      </c>
      <c r="K23" s="1">
        <v>1.67</v>
      </c>
      <c r="L23" s="1">
        <v>41.0</v>
      </c>
      <c r="M23" s="1">
        <v>5.5</v>
      </c>
      <c r="N23" s="1" t="s">
        <v>19</v>
      </c>
    </row>
    <row r="24">
      <c r="A24" s="1" t="s">
        <v>61</v>
      </c>
      <c r="B24" s="1" t="s">
        <v>64</v>
      </c>
      <c r="C24" s="1">
        <v>2014.0</v>
      </c>
      <c r="D24" s="1">
        <v>4.92</v>
      </c>
      <c r="E24" s="1">
        <v>75.0</v>
      </c>
      <c r="F24" s="1">
        <v>6.1</v>
      </c>
      <c r="G24" s="1">
        <v>7.0</v>
      </c>
      <c r="H24" s="1">
        <v>0.9</v>
      </c>
      <c r="I24" s="1">
        <v>22.8503063574</v>
      </c>
      <c r="J24" s="1">
        <v>0.613</v>
      </c>
      <c r="K24" s="1">
        <v>8.85</v>
      </c>
      <c r="L24" s="1">
        <v>31.0</v>
      </c>
      <c r="M24" s="1">
        <v>3.67</v>
      </c>
      <c r="N24" s="1" t="s">
        <v>19</v>
      </c>
    </row>
    <row r="25">
      <c r="A25" s="1" t="s">
        <v>61</v>
      </c>
      <c r="B25" s="1" t="s">
        <v>64</v>
      </c>
      <c r="C25" s="1">
        <v>2015.0</v>
      </c>
      <c r="D25" s="1">
        <v>4.22</v>
      </c>
      <c r="E25" s="1">
        <v>75.0</v>
      </c>
      <c r="F25" s="1">
        <v>6.6</v>
      </c>
      <c r="G25" s="1">
        <v>6.2</v>
      </c>
      <c r="H25" s="1">
        <v>0.9</v>
      </c>
      <c r="I25" s="1">
        <v>23.1207974072</v>
      </c>
      <c r="J25" s="1">
        <v>0.35</v>
      </c>
      <c r="K25" s="1">
        <v>6.42</v>
      </c>
      <c r="L25" s="1">
        <v>32.0</v>
      </c>
      <c r="M25" s="1">
        <v>4.92</v>
      </c>
      <c r="N25" s="1" t="s">
        <v>19</v>
      </c>
    </row>
    <row r="26">
      <c r="A26" s="1" t="s">
        <v>61</v>
      </c>
      <c r="B26" s="1" t="s">
        <v>64</v>
      </c>
      <c r="C26" s="1">
        <v>2016.0</v>
      </c>
      <c r="D26" s="1">
        <v>3.83</v>
      </c>
      <c r="E26" s="1">
        <v>74.0</v>
      </c>
      <c r="F26" s="1">
        <v>7.1</v>
      </c>
      <c r="G26" s="1">
        <v>5.5</v>
      </c>
      <c r="H26" s="1">
        <v>0.9</v>
      </c>
      <c r="I26" s="1">
        <v>22.9850289354</v>
      </c>
      <c r="J26" s="1">
        <v>0.59</v>
      </c>
      <c r="K26" s="1">
        <v>9.28</v>
      </c>
      <c r="L26" s="1">
        <v>33.0</v>
      </c>
      <c r="M26" s="1">
        <v>4.22</v>
      </c>
      <c r="N26" s="1" t="s">
        <v>19</v>
      </c>
    </row>
    <row r="27">
      <c r="A27" s="1" t="s">
        <v>61</v>
      </c>
      <c r="B27" s="1" t="s">
        <v>64</v>
      </c>
      <c r="C27" s="1">
        <v>2017.0</v>
      </c>
      <c r="D27" s="1">
        <v>3.59</v>
      </c>
      <c r="E27" s="1">
        <v>72.0</v>
      </c>
      <c r="F27" s="1">
        <v>6.6</v>
      </c>
      <c r="G27" s="1">
        <v>5.7</v>
      </c>
      <c r="H27" s="1">
        <v>0.9</v>
      </c>
      <c r="I27" s="1">
        <v>23.1347053349</v>
      </c>
      <c r="J27" s="1">
        <v>0.55</v>
      </c>
      <c r="K27" s="1">
        <v>9.63</v>
      </c>
      <c r="L27" s="1">
        <v>34.0</v>
      </c>
      <c r="M27" s="1">
        <v>3.83</v>
      </c>
      <c r="N27" s="1" t="s">
        <v>19</v>
      </c>
    </row>
    <row r="28">
      <c r="A28" s="1" t="s">
        <v>61</v>
      </c>
      <c r="B28" s="1" t="s">
        <v>64</v>
      </c>
      <c r="C28" s="1">
        <v>2018.0</v>
      </c>
      <c r="D28" s="1">
        <v>4.12</v>
      </c>
      <c r="E28" s="1">
        <v>74.0</v>
      </c>
      <c r="F28" s="1">
        <v>7.3</v>
      </c>
      <c r="G28" s="1">
        <v>5.5</v>
      </c>
      <c r="H28" s="1">
        <v>0.8</v>
      </c>
      <c r="I28" s="1">
        <v>23.1768538035</v>
      </c>
      <c r="J28" s="1">
        <v>0.64</v>
      </c>
      <c r="K28" s="1">
        <v>11.07</v>
      </c>
      <c r="L28" s="1">
        <v>35.0</v>
      </c>
      <c r="M28" s="1">
        <v>3.59</v>
      </c>
      <c r="N28" s="1" t="s">
        <v>19</v>
      </c>
    </row>
    <row r="29">
      <c r="A29" s="1" t="s">
        <v>61</v>
      </c>
      <c r="B29" s="1" t="s">
        <v>64</v>
      </c>
      <c r="C29" s="1">
        <v>2019.0</v>
      </c>
      <c r="D29" s="1">
        <v>3.82</v>
      </c>
      <c r="E29" s="1">
        <v>74.0</v>
      </c>
      <c r="F29" s="1">
        <v>7.9</v>
      </c>
      <c r="G29" s="1">
        <v>5.6</v>
      </c>
      <c r="H29" s="1">
        <v>0.8</v>
      </c>
      <c r="I29" s="1">
        <v>23.3274359076</v>
      </c>
      <c r="J29" s="1">
        <v>0.47</v>
      </c>
      <c r="K29" s="1">
        <v>9.39</v>
      </c>
      <c r="L29" s="1">
        <v>36.0</v>
      </c>
      <c r="M29" s="1">
        <v>4.12</v>
      </c>
      <c r="N29" s="1" t="s">
        <v>19</v>
      </c>
    </row>
    <row r="30">
      <c r="A30" s="1" t="s">
        <v>61</v>
      </c>
      <c r="B30" s="1" t="s">
        <v>64</v>
      </c>
      <c r="C30" s="1">
        <v>2020.0</v>
      </c>
      <c r="D30" s="1">
        <v>3.48</v>
      </c>
      <c r="E30" s="1">
        <v>74.0</v>
      </c>
      <c r="F30" s="1">
        <v>3.4</v>
      </c>
      <c r="G30" s="1">
        <v>5.7</v>
      </c>
      <c r="H30" s="1">
        <v>0.8</v>
      </c>
      <c r="I30" s="1">
        <v>23.5392731796</v>
      </c>
      <c r="J30" s="1">
        <v>0.35</v>
      </c>
      <c r="K30" s="1">
        <v>7.34</v>
      </c>
      <c r="L30" s="1">
        <v>37.0</v>
      </c>
      <c r="M30" s="1">
        <v>3.82</v>
      </c>
      <c r="N30" s="1" t="s">
        <v>19</v>
      </c>
    </row>
    <row r="31">
      <c r="A31" s="1" t="s">
        <v>61</v>
      </c>
      <c r="B31" s="1" t="s">
        <v>64</v>
      </c>
      <c r="C31" s="1">
        <v>2021.0</v>
      </c>
      <c r="D31" s="1">
        <v>3.31</v>
      </c>
      <c r="E31" s="1">
        <v>74.0</v>
      </c>
      <c r="F31" s="1">
        <v>6.9</v>
      </c>
      <c r="G31" s="1">
        <v>5.5</v>
      </c>
      <c r="H31" s="1">
        <v>0.8</v>
      </c>
      <c r="I31" s="1">
        <v>23.6786968137</v>
      </c>
      <c r="J31" s="1">
        <v>0.28</v>
      </c>
      <c r="K31" s="1">
        <v>5.56</v>
      </c>
      <c r="L31" s="1">
        <v>38.0</v>
      </c>
      <c r="M31" s="1">
        <v>3.48</v>
      </c>
      <c r="N31" s="1" t="s">
        <v>19</v>
      </c>
    </row>
    <row r="32">
      <c r="A32" s="1" t="s">
        <v>61</v>
      </c>
      <c r="B32" s="1" t="s">
        <v>64</v>
      </c>
      <c r="C32" s="1">
        <v>2022.0</v>
      </c>
      <c r="D32" s="1">
        <v>3.7</v>
      </c>
      <c r="E32" s="1">
        <v>75.0</v>
      </c>
      <c r="F32" s="1">
        <v>7.1</v>
      </c>
      <c r="G32" s="1">
        <v>7.7</v>
      </c>
      <c r="H32" s="1">
        <v>1.0</v>
      </c>
      <c r="I32" s="1">
        <v>23.6859582564</v>
      </c>
      <c r="J32" s="1">
        <v>0.34</v>
      </c>
      <c r="K32" s="1">
        <v>8.93</v>
      </c>
      <c r="L32" s="1">
        <v>39.0</v>
      </c>
      <c r="M32" s="1">
        <v>3.31</v>
      </c>
      <c r="N32" s="1" t="s">
        <v>19</v>
      </c>
    </row>
    <row r="33">
      <c r="A33" s="1" t="s">
        <v>61</v>
      </c>
      <c r="B33" s="1" t="s">
        <v>64</v>
      </c>
      <c r="C33" s="1">
        <v>2023.0</v>
      </c>
      <c r="D33" s="1">
        <v>4.32</v>
      </c>
      <c r="E33" s="1">
        <v>76.0</v>
      </c>
      <c r="F33" s="1">
        <v>5.8</v>
      </c>
      <c r="G33" s="1">
        <v>9.9</v>
      </c>
      <c r="H33" s="1">
        <v>1.2</v>
      </c>
      <c r="I33" s="1">
        <v>23.6394136312</v>
      </c>
      <c r="J33" s="1">
        <v>0.3</v>
      </c>
      <c r="K33" s="1">
        <v>8.59</v>
      </c>
      <c r="L33" s="1">
        <v>40.0</v>
      </c>
      <c r="M33" s="1">
        <v>3.7</v>
      </c>
      <c r="N33" s="1" t="s">
        <v>19</v>
      </c>
    </row>
    <row r="34">
      <c r="A34" s="1" t="s">
        <v>61</v>
      </c>
      <c r="B34" s="1" t="s">
        <v>65</v>
      </c>
      <c r="C34" s="1">
        <v>2014.0</v>
      </c>
      <c r="D34" s="1">
        <v>4.4</v>
      </c>
      <c r="E34" s="1">
        <v>75.0</v>
      </c>
      <c r="F34" s="1">
        <v>6.1</v>
      </c>
      <c r="G34" s="1">
        <v>7.0</v>
      </c>
      <c r="H34" s="1">
        <v>0.9</v>
      </c>
      <c r="I34" s="1">
        <v>21.7457167646</v>
      </c>
      <c r="J34" s="1">
        <v>1.1</v>
      </c>
      <c r="K34" s="1">
        <v>16.2</v>
      </c>
      <c r="L34" s="1">
        <v>18.0</v>
      </c>
      <c r="M34" s="1">
        <v>3.9</v>
      </c>
      <c r="N34" s="1" t="s">
        <v>19</v>
      </c>
    </row>
    <row r="35">
      <c r="A35" s="1" t="s">
        <v>61</v>
      </c>
      <c r="B35" s="1" t="s">
        <v>65</v>
      </c>
      <c r="C35" s="1">
        <v>2015.0</v>
      </c>
      <c r="D35" s="1">
        <v>3.7</v>
      </c>
      <c r="E35" s="1">
        <v>75.0</v>
      </c>
      <c r="F35" s="1">
        <v>6.6</v>
      </c>
      <c r="G35" s="1">
        <v>6.2</v>
      </c>
      <c r="H35" s="1">
        <v>0.9</v>
      </c>
      <c r="I35" s="1">
        <v>21.857566968</v>
      </c>
      <c r="J35" s="1">
        <v>1.3</v>
      </c>
      <c r="K35" s="1">
        <v>19.3</v>
      </c>
      <c r="L35" s="1">
        <v>19.0</v>
      </c>
      <c r="M35" s="1">
        <v>4.4</v>
      </c>
      <c r="N35" s="1" t="s">
        <v>19</v>
      </c>
    </row>
    <row r="36">
      <c r="A36" s="1" t="s">
        <v>61</v>
      </c>
      <c r="B36" s="1" t="s">
        <v>65</v>
      </c>
      <c r="C36" s="1">
        <v>2016.0</v>
      </c>
      <c r="D36" s="1">
        <v>5.2</v>
      </c>
      <c r="E36" s="1">
        <v>74.0</v>
      </c>
      <c r="F36" s="1">
        <v>7.1</v>
      </c>
      <c r="G36" s="1">
        <v>5.5</v>
      </c>
      <c r="H36" s="1">
        <v>0.9</v>
      </c>
      <c r="I36" s="1">
        <v>21.9141534017</v>
      </c>
      <c r="J36" s="1">
        <v>0.7</v>
      </c>
      <c r="K36" s="1">
        <v>10.3</v>
      </c>
      <c r="L36" s="1">
        <v>20.0</v>
      </c>
      <c r="M36" s="1">
        <v>3.7</v>
      </c>
      <c r="N36" s="1" t="s">
        <v>19</v>
      </c>
    </row>
    <row r="37">
      <c r="A37" s="1" t="s">
        <v>61</v>
      </c>
      <c r="B37" s="1" t="s">
        <v>65</v>
      </c>
      <c r="C37" s="1">
        <v>2017.0</v>
      </c>
      <c r="D37" s="1">
        <v>4.7</v>
      </c>
      <c r="E37" s="1">
        <v>72.0</v>
      </c>
      <c r="F37" s="1">
        <v>6.6</v>
      </c>
      <c r="G37" s="1">
        <v>5.7</v>
      </c>
      <c r="H37" s="1">
        <v>0.9</v>
      </c>
      <c r="I37" s="1">
        <v>22.0179930045</v>
      </c>
      <c r="J37" s="1">
        <v>0.9</v>
      </c>
      <c r="K37" s="1">
        <v>13.2</v>
      </c>
      <c r="L37" s="1">
        <v>21.0</v>
      </c>
      <c r="M37" s="1">
        <v>5.2</v>
      </c>
      <c r="N37" s="1" t="s">
        <v>19</v>
      </c>
    </row>
    <row r="38">
      <c r="A38" s="1" t="s">
        <v>61</v>
      </c>
      <c r="B38" s="1" t="s">
        <v>65</v>
      </c>
      <c r="C38" s="1">
        <v>2018.0</v>
      </c>
      <c r="D38" s="1">
        <v>4.1</v>
      </c>
      <c r="E38" s="1">
        <v>74.0</v>
      </c>
      <c r="F38" s="1">
        <v>7.3</v>
      </c>
      <c r="G38" s="1">
        <v>5.5</v>
      </c>
      <c r="H38" s="1">
        <v>0.8</v>
      </c>
      <c r="I38" s="1">
        <v>22.163100965</v>
      </c>
      <c r="J38" s="1">
        <v>1.3</v>
      </c>
      <c r="K38" s="1">
        <v>19.7</v>
      </c>
      <c r="L38" s="1">
        <v>22.0</v>
      </c>
      <c r="M38" s="1">
        <v>4.7</v>
      </c>
      <c r="N38" s="1" t="s">
        <v>19</v>
      </c>
    </row>
    <row r="39">
      <c r="A39" s="1" t="s">
        <v>61</v>
      </c>
      <c r="B39" s="1" t="s">
        <v>65</v>
      </c>
      <c r="C39" s="1">
        <v>2019.0</v>
      </c>
      <c r="D39" s="1">
        <v>4.4</v>
      </c>
      <c r="E39" s="1">
        <v>74.0</v>
      </c>
      <c r="F39" s="1">
        <v>7.9</v>
      </c>
      <c r="G39" s="1">
        <v>5.6</v>
      </c>
      <c r="H39" s="1">
        <v>0.8</v>
      </c>
      <c r="I39" s="1">
        <v>22.2493221404</v>
      </c>
      <c r="J39" s="1">
        <v>1.18</v>
      </c>
      <c r="K39" s="1">
        <v>17.18</v>
      </c>
      <c r="L39" s="1">
        <v>23.0</v>
      </c>
      <c r="M39" s="1">
        <v>4.1</v>
      </c>
      <c r="N39" s="1" t="s">
        <v>19</v>
      </c>
    </row>
    <row r="40">
      <c r="A40" s="1" t="s">
        <v>61</v>
      </c>
      <c r="B40" s="1" t="s">
        <v>65</v>
      </c>
      <c r="C40" s="1">
        <v>2020.0</v>
      </c>
      <c r="D40" s="1">
        <v>2.2</v>
      </c>
      <c r="E40" s="1">
        <v>74.0</v>
      </c>
      <c r="F40" s="1">
        <v>3.4</v>
      </c>
      <c r="G40" s="1">
        <v>5.7</v>
      </c>
      <c r="H40" s="1">
        <v>0.8</v>
      </c>
      <c r="I40" s="1">
        <v>22.4406608909</v>
      </c>
      <c r="J40" s="1">
        <v>1.3</v>
      </c>
      <c r="K40" s="1">
        <v>18.4</v>
      </c>
      <c r="L40" s="1">
        <v>24.0</v>
      </c>
      <c r="M40" s="1">
        <v>4.4</v>
      </c>
      <c r="N40" s="1" t="s">
        <v>19</v>
      </c>
    </row>
    <row r="41">
      <c r="A41" s="1" t="s">
        <v>61</v>
      </c>
      <c r="B41" s="1" t="s">
        <v>65</v>
      </c>
      <c r="C41" s="1">
        <v>2021.0</v>
      </c>
      <c r="D41" s="1">
        <v>3.7</v>
      </c>
      <c r="E41" s="1">
        <v>74.0</v>
      </c>
      <c r="F41" s="1">
        <v>6.9</v>
      </c>
      <c r="G41" s="1">
        <v>5.5</v>
      </c>
      <c r="H41" s="1">
        <v>0.8</v>
      </c>
      <c r="I41" s="1">
        <v>22.5950680138</v>
      </c>
      <c r="J41" s="1">
        <v>1.06</v>
      </c>
      <c r="K41" s="1">
        <v>14.41</v>
      </c>
      <c r="L41" s="1">
        <v>25.0</v>
      </c>
      <c r="M41" s="1">
        <v>2.2</v>
      </c>
      <c r="N41" s="1" t="s">
        <v>19</v>
      </c>
    </row>
    <row r="42">
      <c r="A42" s="1" t="s">
        <v>61</v>
      </c>
      <c r="B42" s="1" t="s">
        <v>65</v>
      </c>
      <c r="C42" s="1">
        <v>2022.0</v>
      </c>
      <c r="D42" s="1">
        <v>4.29</v>
      </c>
      <c r="E42" s="1">
        <v>75.0</v>
      </c>
      <c r="F42" s="1">
        <v>7.1</v>
      </c>
      <c r="G42" s="1">
        <v>7.7</v>
      </c>
      <c r="H42" s="1">
        <v>1.0</v>
      </c>
      <c r="I42" s="1">
        <v>22.4059542111</v>
      </c>
      <c r="J42" s="1">
        <v>1.02</v>
      </c>
      <c r="K42" s="1">
        <v>13.6</v>
      </c>
      <c r="L42" s="1">
        <v>26.0</v>
      </c>
      <c r="M42" s="1">
        <v>3.7</v>
      </c>
      <c r="N42" s="1" t="s">
        <v>19</v>
      </c>
    </row>
    <row r="43">
      <c r="A43" s="1" t="s">
        <v>61</v>
      </c>
      <c r="B43" s="1" t="s">
        <v>65</v>
      </c>
      <c r="C43" s="1">
        <v>2023.0</v>
      </c>
      <c r="D43" s="1">
        <v>4.1</v>
      </c>
      <c r="E43" s="1">
        <v>76.0</v>
      </c>
      <c r="F43" s="1">
        <v>5.8</v>
      </c>
      <c r="G43" s="1">
        <v>9.9</v>
      </c>
      <c r="H43" s="1">
        <v>1.2</v>
      </c>
      <c r="I43" s="1">
        <v>22.4092943515</v>
      </c>
      <c r="J43" s="1">
        <v>1.4</v>
      </c>
      <c r="K43" s="1">
        <v>17.9</v>
      </c>
      <c r="L43" s="1">
        <v>27.0</v>
      </c>
      <c r="M43" s="1">
        <v>4.29</v>
      </c>
      <c r="N43" s="1" t="s">
        <v>19</v>
      </c>
    </row>
    <row r="44">
      <c r="A44" s="1" t="s">
        <v>61</v>
      </c>
      <c r="B44" s="1" t="s">
        <v>65</v>
      </c>
      <c r="C44" s="1">
        <v>2024.0</v>
      </c>
      <c r="D44" s="1">
        <v>7.7</v>
      </c>
      <c r="E44" s="1">
        <v>77.0</v>
      </c>
      <c r="F44" s="1">
        <v>4.2</v>
      </c>
      <c r="G44" s="1">
        <v>10.5</v>
      </c>
      <c r="H44" s="1">
        <v>1.2</v>
      </c>
      <c r="I44" s="1">
        <v>22.5462009236</v>
      </c>
      <c r="J44" s="1">
        <v>0.7</v>
      </c>
      <c r="K44" s="1">
        <v>9.5</v>
      </c>
      <c r="L44" s="1">
        <v>28.0</v>
      </c>
      <c r="M44" s="1">
        <v>4.1</v>
      </c>
      <c r="N44" s="1" t="s">
        <v>19</v>
      </c>
    </row>
    <row r="45">
      <c r="A45" s="1" t="s">
        <v>61</v>
      </c>
      <c r="B45" s="1" t="s">
        <v>66</v>
      </c>
      <c r="C45" s="1">
        <v>2014.0</v>
      </c>
      <c r="D45" s="1">
        <v>20.46</v>
      </c>
      <c r="E45" s="1">
        <v>75.0</v>
      </c>
      <c r="F45" s="1">
        <v>6.1</v>
      </c>
      <c r="G45" s="1">
        <v>7.0</v>
      </c>
      <c r="H45" s="1">
        <v>0.9</v>
      </c>
      <c r="I45" s="1">
        <v>23.1156916339</v>
      </c>
      <c r="J45" s="1">
        <v>0.68</v>
      </c>
      <c r="K45" s="1">
        <v>11.05</v>
      </c>
      <c r="L45" s="1">
        <v>42.0</v>
      </c>
      <c r="M45" s="1">
        <v>19.15</v>
      </c>
      <c r="N45" s="1" t="s">
        <v>17</v>
      </c>
    </row>
    <row r="46">
      <c r="A46" s="1" t="s">
        <v>61</v>
      </c>
      <c r="B46" s="1" t="s">
        <v>66</v>
      </c>
      <c r="C46" s="1">
        <v>2015.0</v>
      </c>
      <c r="D46" s="1">
        <v>25.08</v>
      </c>
      <c r="E46" s="1">
        <v>75.0</v>
      </c>
      <c r="F46" s="1">
        <v>6.6</v>
      </c>
      <c r="G46" s="1">
        <v>6.2</v>
      </c>
      <c r="H46" s="1">
        <v>0.9</v>
      </c>
      <c r="I46" s="1">
        <v>23.2935853646</v>
      </c>
      <c r="J46" s="1">
        <v>0.06</v>
      </c>
      <c r="K46" s="1">
        <v>0.99</v>
      </c>
      <c r="L46" s="1">
        <v>43.0</v>
      </c>
      <c r="M46" s="1">
        <v>20.46</v>
      </c>
      <c r="N46" s="1" t="s">
        <v>17</v>
      </c>
    </row>
    <row r="47">
      <c r="A47" s="1" t="s">
        <v>61</v>
      </c>
      <c r="B47" s="1" t="s">
        <v>66</v>
      </c>
      <c r="C47" s="1">
        <v>2016.0</v>
      </c>
      <c r="D47" s="1">
        <v>25.08</v>
      </c>
      <c r="E47" s="1">
        <v>74.0</v>
      </c>
      <c r="F47" s="1">
        <v>7.1</v>
      </c>
      <c r="G47" s="1">
        <v>5.5</v>
      </c>
      <c r="H47" s="1">
        <v>0.9</v>
      </c>
      <c r="I47" s="1">
        <v>23.4537296329</v>
      </c>
      <c r="J47" s="1">
        <v>0.14</v>
      </c>
      <c r="K47" s="1">
        <v>2.18</v>
      </c>
      <c r="L47" s="1">
        <v>44.0</v>
      </c>
      <c r="M47" s="1">
        <v>25.08</v>
      </c>
      <c r="N47" s="1" t="s">
        <v>17</v>
      </c>
    </row>
    <row r="48">
      <c r="A48" s="1" t="s">
        <v>61</v>
      </c>
      <c r="B48" s="1" t="s">
        <v>66</v>
      </c>
      <c r="C48" s="1">
        <v>2017.0</v>
      </c>
      <c r="D48" s="1">
        <v>23.0</v>
      </c>
      <c r="E48" s="1">
        <v>72.0</v>
      </c>
      <c r="F48" s="1">
        <v>6.6</v>
      </c>
      <c r="G48" s="1">
        <v>5.7</v>
      </c>
      <c r="H48" s="1">
        <v>0.9</v>
      </c>
      <c r="I48" s="1">
        <v>23.253782998</v>
      </c>
      <c r="J48" s="1">
        <v>0.25</v>
      </c>
      <c r="K48" s="1">
        <v>5.07</v>
      </c>
      <c r="L48" s="1">
        <v>45.0</v>
      </c>
      <c r="M48" s="1">
        <v>25.08</v>
      </c>
      <c r="N48" s="1" t="s">
        <v>17</v>
      </c>
    </row>
    <row r="49">
      <c r="A49" s="1" t="s">
        <v>61</v>
      </c>
      <c r="B49" s="1" t="s">
        <v>66</v>
      </c>
      <c r="C49" s="1">
        <v>2018.0</v>
      </c>
      <c r="D49" s="1">
        <v>25.44</v>
      </c>
      <c r="E49" s="1">
        <v>74.0</v>
      </c>
      <c r="F49" s="1">
        <v>7.3</v>
      </c>
      <c r="G49" s="1">
        <v>5.5</v>
      </c>
      <c r="H49" s="1">
        <v>0.8</v>
      </c>
      <c r="I49" s="1">
        <v>23.294350183</v>
      </c>
      <c r="J49" s="1">
        <v>0.23</v>
      </c>
      <c r="K49" s="1">
        <v>4.06</v>
      </c>
      <c r="L49" s="1">
        <v>46.0</v>
      </c>
      <c r="M49" s="1">
        <v>23.0</v>
      </c>
      <c r="N49" s="1" t="s">
        <v>17</v>
      </c>
    </row>
    <row r="50">
      <c r="A50" s="1" t="s">
        <v>61</v>
      </c>
      <c r="B50" s="1" t="s">
        <v>66</v>
      </c>
      <c r="C50" s="1">
        <v>2019.0</v>
      </c>
      <c r="D50" s="1">
        <v>20.32</v>
      </c>
      <c r="E50" s="1">
        <v>74.0</v>
      </c>
      <c r="F50" s="1">
        <v>7.9</v>
      </c>
      <c r="G50" s="1">
        <v>5.6</v>
      </c>
      <c r="H50" s="1">
        <v>0.8</v>
      </c>
      <c r="I50" s="1">
        <v>23.5826054856</v>
      </c>
      <c r="J50" s="1">
        <v>0.2</v>
      </c>
      <c r="K50" s="1">
        <v>3.92</v>
      </c>
      <c r="L50" s="1">
        <v>47.0</v>
      </c>
      <c r="M50" s="1">
        <v>25.44</v>
      </c>
      <c r="N50" s="1" t="s">
        <v>17</v>
      </c>
    </row>
    <row r="51">
      <c r="A51" s="1" t="s">
        <v>61</v>
      </c>
      <c r="B51" s="1" t="s">
        <v>66</v>
      </c>
      <c r="C51" s="1">
        <v>2020.0</v>
      </c>
      <c r="D51" s="1">
        <v>16.2</v>
      </c>
      <c r="E51" s="1">
        <v>74.0</v>
      </c>
      <c r="F51" s="1">
        <v>3.4</v>
      </c>
      <c r="G51" s="1">
        <v>5.7</v>
      </c>
      <c r="H51" s="1">
        <v>0.8</v>
      </c>
      <c r="I51" s="1">
        <v>23.6565906504</v>
      </c>
      <c r="J51" s="1">
        <v>0.21</v>
      </c>
      <c r="K51" s="1">
        <v>4.49</v>
      </c>
      <c r="L51" s="1">
        <v>48.0</v>
      </c>
      <c r="M51" s="1">
        <v>20.32</v>
      </c>
      <c r="N51" s="1" t="s">
        <v>17</v>
      </c>
    </row>
    <row r="52">
      <c r="A52" s="1" t="s">
        <v>61</v>
      </c>
      <c r="B52" s="1" t="s">
        <v>66</v>
      </c>
      <c r="C52" s="1">
        <v>2021.0</v>
      </c>
      <c r="D52" s="1">
        <v>19.37</v>
      </c>
      <c r="E52" s="1">
        <v>74.0</v>
      </c>
      <c r="F52" s="1">
        <v>6.9</v>
      </c>
      <c r="G52" s="1">
        <v>5.5</v>
      </c>
      <c r="H52" s="1">
        <v>0.8</v>
      </c>
      <c r="I52" s="1">
        <v>23.6833709329</v>
      </c>
      <c r="J52" s="1">
        <v>0.21</v>
      </c>
      <c r="K52" s="1">
        <v>4.27</v>
      </c>
      <c r="L52" s="1">
        <v>49.0</v>
      </c>
      <c r="M52" s="1">
        <v>16.2</v>
      </c>
      <c r="N52" s="1" t="s">
        <v>17</v>
      </c>
    </row>
    <row r="53">
      <c r="A53" s="1" t="s">
        <v>61</v>
      </c>
      <c r="B53" s="1" t="s">
        <v>66</v>
      </c>
      <c r="C53" s="1">
        <v>2022.0</v>
      </c>
      <c r="D53" s="1">
        <v>14.83</v>
      </c>
      <c r="E53" s="1">
        <v>75.0</v>
      </c>
      <c r="F53" s="1">
        <v>7.1</v>
      </c>
      <c r="G53" s="1">
        <v>7.7</v>
      </c>
      <c r="H53" s="1">
        <v>1.0</v>
      </c>
      <c r="I53" s="1">
        <v>23.5125887582</v>
      </c>
      <c r="J53" s="1">
        <v>0.21</v>
      </c>
      <c r="K53" s="1">
        <v>4.7</v>
      </c>
      <c r="L53" s="1">
        <v>50.0</v>
      </c>
      <c r="M53" s="1">
        <v>19.37</v>
      </c>
      <c r="N53" s="1" t="s">
        <v>17</v>
      </c>
    </row>
    <row r="54">
      <c r="A54" s="1" t="s">
        <v>61</v>
      </c>
      <c r="B54" s="1" t="s">
        <v>66</v>
      </c>
      <c r="C54" s="1">
        <v>2023.0</v>
      </c>
      <c r="D54" s="1">
        <v>13.23</v>
      </c>
      <c r="E54" s="1">
        <v>76.0</v>
      </c>
      <c r="F54" s="1">
        <v>5.8</v>
      </c>
      <c r="G54" s="1">
        <v>9.9</v>
      </c>
      <c r="H54" s="1">
        <v>1.2</v>
      </c>
      <c r="I54" s="1">
        <v>23.6141929961</v>
      </c>
      <c r="J54" s="1">
        <v>0.35</v>
      </c>
      <c r="K54" s="1">
        <v>7.77</v>
      </c>
      <c r="L54" s="1">
        <v>51.0</v>
      </c>
      <c r="M54" s="1">
        <v>14.83</v>
      </c>
      <c r="N54" s="1" t="s">
        <v>17</v>
      </c>
    </row>
    <row r="55">
      <c r="A55" s="1" t="s">
        <v>61</v>
      </c>
      <c r="B55" s="1" t="s">
        <v>66</v>
      </c>
      <c r="C55" s="1">
        <v>2024.0</v>
      </c>
      <c r="D55" s="1">
        <v>6.78</v>
      </c>
      <c r="E55" s="1">
        <v>77.0</v>
      </c>
      <c r="F55" s="1">
        <v>4.2</v>
      </c>
      <c r="G55" s="1">
        <v>10.5</v>
      </c>
      <c r="H55" s="1">
        <v>1.2</v>
      </c>
      <c r="I55" s="1">
        <v>23.6682309934</v>
      </c>
      <c r="J55" s="1">
        <v>0.41</v>
      </c>
      <c r="K55" s="1">
        <v>8.86</v>
      </c>
      <c r="L55" s="1">
        <v>52.0</v>
      </c>
      <c r="M55" s="1">
        <v>13.23</v>
      </c>
      <c r="N55" s="1" t="s">
        <v>17</v>
      </c>
    </row>
    <row r="56">
      <c r="A56" s="1" t="s">
        <v>61</v>
      </c>
      <c r="B56" s="1" t="s">
        <v>67</v>
      </c>
      <c r="C56" s="1">
        <v>2014.0</v>
      </c>
      <c r="D56" s="1">
        <v>16.87</v>
      </c>
      <c r="E56" s="1">
        <v>75.0</v>
      </c>
      <c r="F56" s="1">
        <v>6.1</v>
      </c>
      <c r="G56" s="1">
        <v>7.0</v>
      </c>
      <c r="H56" s="1">
        <v>0.9</v>
      </c>
      <c r="I56" s="1">
        <v>20.2721075142</v>
      </c>
      <c r="J56" s="1">
        <v>0.4</v>
      </c>
      <c r="K56" s="1">
        <v>5.02</v>
      </c>
      <c r="L56" s="1">
        <v>42.0</v>
      </c>
      <c r="M56" s="1">
        <v>17.64</v>
      </c>
      <c r="N56" s="1" t="s">
        <v>17</v>
      </c>
    </row>
    <row r="57">
      <c r="A57" s="1" t="s">
        <v>61</v>
      </c>
      <c r="B57" s="1" t="s">
        <v>67</v>
      </c>
      <c r="C57" s="1">
        <v>2015.0</v>
      </c>
      <c r="D57" s="1">
        <v>18.96</v>
      </c>
      <c r="E57" s="1">
        <v>75.0</v>
      </c>
      <c r="F57" s="1">
        <v>6.6</v>
      </c>
      <c r="G57" s="1">
        <v>6.2</v>
      </c>
      <c r="H57" s="1">
        <v>0.9</v>
      </c>
      <c r="I57" s="1">
        <v>22.709769383</v>
      </c>
      <c r="J57" s="1">
        <v>0.12</v>
      </c>
      <c r="K57" s="1">
        <v>1.46</v>
      </c>
      <c r="L57" s="1">
        <v>43.0</v>
      </c>
      <c r="M57" s="1">
        <v>16.87</v>
      </c>
      <c r="N57" s="1" t="s">
        <v>17</v>
      </c>
    </row>
    <row r="58">
      <c r="A58" s="1" t="s">
        <v>61</v>
      </c>
      <c r="B58" s="1" t="s">
        <v>67</v>
      </c>
      <c r="C58" s="1">
        <v>2016.0</v>
      </c>
      <c r="D58" s="1">
        <v>25.59</v>
      </c>
      <c r="E58" s="1">
        <v>74.0</v>
      </c>
      <c r="F58" s="1">
        <v>7.1</v>
      </c>
      <c r="G58" s="1">
        <v>5.5</v>
      </c>
      <c r="H58" s="1">
        <v>0.9</v>
      </c>
      <c r="I58" s="1">
        <v>20.4778638954</v>
      </c>
      <c r="J58" s="1">
        <v>1.12</v>
      </c>
      <c r="K58" s="1">
        <v>19.06</v>
      </c>
      <c r="L58" s="1">
        <v>44.0</v>
      </c>
      <c r="M58" s="1">
        <v>18.96</v>
      </c>
      <c r="N58" s="1" t="s">
        <v>17</v>
      </c>
    </row>
    <row r="59">
      <c r="A59" s="1" t="s">
        <v>61</v>
      </c>
      <c r="B59" s="1" t="s">
        <v>67</v>
      </c>
      <c r="C59" s="1">
        <v>2017.0</v>
      </c>
      <c r="D59" s="1">
        <v>17.45</v>
      </c>
      <c r="E59" s="1">
        <v>72.0</v>
      </c>
      <c r="F59" s="1">
        <v>6.6</v>
      </c>
      <c r="G59" s="1">
        <v>5.7</v>
      </c>
      <c r="H59" s="1">
        <v>0.9</v>
      </c>
      <c r="I59" s="1">
        <v>22.8656821778</v>
      </c>
      <c r="J59" s="1">
        <v>1.0</v>
      </c>
      <c r="K59" s="1">
        <v>16.59</v>
      </c>
      <c r="L59" s="1">
        <v>45.0</v>
      </c>
      <c r="M59" s="1">
        <v>25.59</v>
      </c>
      <c r="N59" s="1" t="s">
        <v>17</v>
      </c>
    </row>
    <row r="60">
      <c r="A60" s="1" t="s">
        <v>61</v>
      </c>
      <c r="B60" s="1" t="s">
        <v>67</v>
      </c>
      <c r="C60" s="1">
        <v>2018.0</v>
      </c>
      <c r="D60" s="1">
        <v>17.67</v>
      </c>
      <c r="E60" s="1">
        <v>74.0</v>
      </c>
      <c r="F60" s="1">
        <v>7.3</v>
      </c>
      <c r="G60" s="1">
        <v>5.5</v>
      </c>
      <c r="H60" s="1">
        <v>0.8</v>
      </c>
      <c r="I60" s="1">
        <v>20.6608264444</v>
      </c>
      <c r="J60" s="1">
        <v>0.13</v>
      </c>
      <c r="K60" s="1">
        <v>2.49</v>
      </c>
      <c r="L60" s="1">
        <v>46.0</v>
      </c>
      <c r="M60" s="1">
        <v>17.45</v>
      </c>
      <c r="N60" s="1" t="s">
        <v>17</v>
      </c>
    </row>
    <row r="61">
      <c r="A61" s="1" t="s">
        <v>61</v>
      </c>
      <c r="B61" s="1" t="s">
        <v>67</v>
      </c>
      <c r="C61" s="1">
        <v>2019.0</v>
      </c>
      <c r="D61" s="1">
        <v>14.26</v>
      </c>
      <c r="E61" s="1">
        <v>74.0</v>
      </c>
      <c r="F61" s="1">
        <v>7.9</v>
      </c>
      <c r="G61" s="1">
        <v>5.6</v>
      </c>
      <c r="H61" s="1">
        <v>0.8</v>
      </c>
      <c r="I61" s="1">
        <v>23.0746410941</v>
      </c>
      <c r="J61" s="1">
        <v>0.13</v>
      </c>
      <c r="K61" s="1">
        <v>2.53</v>
      </c>
      <c r="L61" s="1">
        <v>47.0</v>
      </c>
      <c r="M61" s="1">
        <v>17.67</v>
      </c>
      <c r="N61" s="1" t="s">
        <v>17</v>
      </c>
    </row>
    <row r="62">
      <c r="A62" s="1" t="s">
        <v>61</v>
      </c>
      <c r="B62" s="1" t="s">
        <v>67</v>
      </c>
      <c r="C62" s="1">
        <v>2020.0</v>
      </c>
      <c r="D62" s="1">
        <v>12.46</v>
      </c>
      <c r="E62" s="1">
        <v>74.0</v>
      </c>
      <c r="F62" s="1">
        <v>3.4</v>
      </c>
      <c r="G62" s="1">
        <v>5.7</v>
      </c>
      <c r="H62" s="1">
        <v>0.8</v>
      </c>
      <c r="I62" s="1">
        <v>23.2804931483</v>
      </c>
      <c r="J62" s="1">
        <v>0.06</v>
      </c>
      <c r="K62" s="1">
        <v>1.49</v>
      </c>
      <c r="L62" s="1">
        <v>48.0</v>
      </c>
      <c r="M62" s="1">
        <v>14.26</v>
      </c>
      <c r="N62" s="1" t="s">
        <v>17</v>
      </c>
    </row>
    <row r="63">
      <c r="A63" s="1" t="s">
        <v>61</v>
      </c>
      <c r="B63" s="1" t="s">
        <v>67</v>
      </c>
      <c r="C63" s="1">
        <v>2021.0</v>
      </c>
      <c r="D63" s="1">
        <v>16.7</v>
      </c>
      <c r="E63" s="1">
        <v>74.0</v>
      </c>
      <c r="F63" s="1">
        <v>6.9</v>
      </c>
      <c r="G63" s="1">
        <v>5.5</v>
      </c>
      <c r="H63" s="1">
        <v>0.8</v>
      </c>
      <c r="I63" s="1">
        <v>23.3551546771</v>
      </c>
      <c r="J63" s="1">
        <v>0.12</v>
      </c>
      <c r="K63" s="1">
        <v>3.39</v>
      </c>
      <c r="L63" s="1">
        <v>49.0</v>
      </c>
      <c r="M63" s="1">
        <v>12.46</v>
      </c>
      <c r="N63" s="1" t="s">
        <v>17</v>
      </c>
    </row>
    <row r="64">
      <c r="A64" s="1" t="s">
        <v>61</v>
      </c>
      <c r="B64" s="1" t="s">
        <v>67</v>
      </c>
      <c r="C64" s="1">
        <v>2022.0</v>
      </c>
      <c r="D64" s="1">
        <v>28.37</v>
      </c>
      <c r="E64" s="1">
        <v>75.0</v>
      </c>
      <c r="F64" s="1">
        <v>7.1</v>
      </c>
      <c r="G64" s="1">
        <v>7.7</v>
      </c>
      <c r="H64" s="1">
        <v>1.0</v>
      </c>
      <c r="I64" s="1">
        <v>20.8365945223</v>
      </c>
      <c r="J64" s="1">
        <v>0.06</v>
      </c>
      <c r="K64" s="1">
        <v>1.66</v>
      </c>
      <c r="L64" s="1">
        <v>50.0</v>
      </c>
      <c r="M64" s="1">
        <v>16.7</v>
      </c>
      <c r="N64" s="1" t="s">
        <v>17</v>
      </c>
    </row>
    <row r="65">
      <c r="A65" s="1" t="s">
        <v>61</v>
      </c>
      <c r="B65" s="1" t="s">
        <v>67</v>
      </c>
      <c r="C65" s="1">
        <v>2023.0</v>
      </c>
      <c r="D65" s="1">
        <v>21.11</v>
      </c>
      <c r="E65" s="1">
        <v>76.0</v>
      </c>
      <c r="F65" s="1">
        <v>5.8</v>
      </c>
      <c r="G65" s="1">
        <v>9.9</v>
      </c>
      <c r="H65" s="1">
        <v>1.2</v>
      </c>
      <c r="I65" s="1">
        <v>23.1166052932</v>
      </c>
      <c r="J65" s="1">
        <v>0.1</v>
      </c>
      <c r="K65" s="1">
        <v>2.73</v>
      </c>
      <c r="L65" s="1">
        <v>51.0</v>
      </c>
      <c r="M65" s="1">
        <v>28.37</v>
      </c>
      <c r="N65" s="1" t="s">
        <v>17</v>
      </c>
    </row>
    <row r="66">
      <c r="A66" s="1" t="s">
        <v>61</v>
      </c>
      <c r="B66" s="1" t="s">
        <v>67</v>
      </c>
      <c r="C66" s="1">
        <v>2024.0</v>
      </c>
      <c r="D66" s="1">
        <v>40.49</v>
      </c>
      <c r="E66" s="1">
        <v>77.0</v>
      </c>
      <c r="F66" s="1">
        <v>4.2</v>
      </c>
      <c r="G66" s="1">
        <v>10.5</v>
      </c>
      <c r="H66" s="1">
        <v>1.2</v>
      </c>
      <c r="I66" s="22">
        <v>23.0944437214</v>
      </c>
      <c r="J66" s="1">
        <v>0.74</v>
      </c>
      <c r="K66" s="1">
        <v>24.91</v>
      </c>
      <c r="L66" s="1">
        <v>52.0</v>
      </c>
      <c r="M66" s="1">
        <v>21.11</v>
      </c>
      <c r="N66" s="1" t="s">
        <v>17</v>
      </c>
    </row>
    <row r="67">
      <c r="A67" s="23" t="s">
        <v>61</v>
      </c>
      <c r="B67" s="1" t="s">
        <v>68</v>
      </c>
      <c r="C67" s="1">
        <v>2014.0</v>
      </c>
      <c r="D67" s="1">
        <v>5.31</v>
      </c>
      <c r="E67" s="1">
        <v>75.0</v>
      </c>
      <c r="F67" s="1">
        <v>6.1</v>
      </c>
      <c r="G67" s="1">
        <v>7.0</v>
      </c>
      <c r="H67" s="1">
        <v>0.9</v>
      </c>
      <c r="I67" s="1">
        <v>21.6826160583</v>
      </c>
      <c r="J67" s="1">
        <v>1.28</v>
      </c>
      <c r="K67" s="1">
        <v>14.1</v>
      </c>
      <c r="L67" s="1">
        <v>15.0</v>
      </c>
      <c r="M67" s="1">
        <v>5.6</v>
      </c>
      <c r="N67" s="1" t="s">
        <v>19</v>
      </c>
    </row>
    <row r="68">
      <c r="A68" s="23" t="s">
        <v>61</v>
      </c>
      <c r="B68" s="1" t="s">
        <v>68</v>
      </c>
      <c r="C68" s="1">
        <v>2015.0</v>
      </c>
      <c r="D68" s="1">
        <v>4.26</v>
      </c>
      <c r="E68" s="1">
        <v>75.0</v>
      </c>
      <c r="F68" s="1">
        <v>6.6</v>
      </c>
      <c r="G68" s="1">
        <v>6.2</v>
      </c>
      <c r="H68" s="1">
        <v>0.9</v>
      </c>
      <c r="I68" s="1">
        <v>21.7733879165</v>
      </c>
      <c r="J68" s="1">
        <v>1.26</v>
      </c>
      <c r="K68" s="1">
        <v>14.36</v>
      </c>
      <c r="L68" s="1">
        <v>16.0</v>
      </c>
      <c r="M68" s="1">
        <v>5.31</v>
      </c>
      <c r="N68" s="1" t="s">
        <v>19</v>
      </c>
    </row>
    <row r="69">
      <c r="A69" s="23" t="s">
        <v>61</v>
      </c>
      <c r="B69" s="1" t="s">
        <v>68</v>
      </c>
      <c r="C69" s="1">
        <v>2016.0</v>
      </c>
      <c r="D69" s="1">
        <v>5.41</v>
      </c>
      <c r="E69" s="1">
        <v>74.0</v>
      </c>
      <c r="F69" s="1">
        <v>7.1</v>
      </c>
      <c r="G69" s="1">
        <v>5.5</v>
      </c>
      <c r="H69" s="1">
        <v>0.9</v>
      </c>
      <c r="I69" s="1">
        <v>21.8957479742</v>
      </c>
      <c r="J69" s="1">
        <v>0.65</v>
      </c>
      <c r="K69" s="1">
        <v>6.49</v>
      </c>
      <c r="L69" s="1">
        <v>17.0</v>
      </c>
      <c r="M69" s="1">
        <v>4.26</v>
      </c>
      <c r="N69" s="1" t="s">
        <v>19</v>
      </c>
    </row>
    <row r="70">
      <c r="A70" s="23" t="s">
        <v>61</v>
      </c>
      <c r="B70" s="1" t="s">
        <v>68</v>
      </c>
      <c r="C70" s="1">
        <v>2017.0</v>
      </c>
      <c r="D70" s="1">
        <v>4.38</v>
      </c>
      <c r="E70" s="1">
        <v>72.0</v>
      </c>
      <c r="F70" s="1">
        <v>6.6</v>
      </c>
      <c r="G70" s="1">
        <v>5.7</v>
      </c>
      <c r="H70" s="1">
        <v>0.9</v>
      </c>
      <c r="I70" s="1">
        <v>21.964534426</v>
      </c>
      <c r="J70" s="1">
        <v>0.76</v>
      </c>
      <c r="K70" s="1">
        <v>10.22</v>
      </c>
      <c r="L70" s="1">
        <v>18.0</v>
      </c>
      <c r="M70" s="1">
        <v>5.41</v>
      </c>
      <c r="N70" s="1" t="s">
        <v>19</v>
      </c>
    </row>
    <row r="71">
      <c r="A71" s="23" t="s">
        <v>61</v>
      </c>
      <c r="B71" s="1" t="s">
        <v>68</v>
      </c>
      <c r="C71" s="1">
        <v>2018.0</v>
      </c>
      <c r="D71" s="1">
        <v>4.1</v>
      </c>
      <c r="E71" s="1">
        <v>74.0</v>
      </c>
      <c r="F71" s="1">
        <v>7.3</v>
      </c>
      <c r="G71" s="1">
        <v>5.5</v>
      </c>
      <c r="H71" s="1">
        <v>0.8</v>
      </c>
      <c r="I71" s="1">
        <v>22.0207289844</v>
      </c>
      <c r="J71" s="1">
        <v>0.76</v>
      </c>
      <c r="K71" s="1">
        <v>10.21</v>
      </c>
      <c r="L71" s="1">
        <v>19.0</v>
      </c>
      <c r="M71" s="1">
        <v>4.38</v>
      </c>
      <c r="N71" s="1" t="s">
        <v>19</v>
      </c>
    </row>
    <row r="72">
      <c r="A72" s="23" t="s">
        <v>61</v>
      </c>
      <c r="B72" s="1" t="s">
        <v>68</v>
      </c>
      <c r="C72" s="1">
        <v>2019.0</v>
      </c>
      <c r="D72" s="1">
        <v>4.61</v>
      </c>
      <c r="E72" s="1">
        <v>74.0</v>
      </c>
      <c r="F72" s="1">
        <v>7.9</v>
      </c>
      <c r="G72" s="1">
        <v>5.6</v>
      </c>
      <c r="H72" s="1">
        <v>0.8</v>
      </c>
      <c r="I72" s="1">
        <v>22.1511818728</v>
      </c>
      <c r="J72" s="1">
        <v>0.59</v>
      </c>
      <c r="K72" s="1">
        <v>8.16</v>
      </c>
      <c r="L72" s="1">
        <v>20.0</v>
      </c>
      <c r="M72" s="1">
        <v>4.1</v>
      </c>
      <c r="N72" s="1" t="s">
        <v>19</v>
      </c>
    </row>
    <row r="73">
      <c r="A73" s="23" t="s">
        <v>61</v>
      </c>
      <c r="B73" s="1" t="s">
        <v>68</v>
      </c>
      <c r="C73" s="1">
        <v>2020.0</v>
      </c>
      <c r="D73" s="1">
        <v>3.24</v>
      </c>
      <c r="E73" s="1">
        <v>74.0</v>
      </c>
      <c r="F73" s="1">
        <v>3.4</v>
      </c>
      <c r="G73" s="1">
        <v>5.7</v>
      </c>
      <c r="H73" s="1">
        <v>0.8</v>
      </c>
      <c r="I73" s="1">
        <v>22.296039765</v>
      </c>
      <c r="J73" s="1">
        <v>0.53</v>
      </c>
      <c r="K73" s="1">
        <v>7.81</v>
      </c>
      <c r="L73" s="1">
        <v>21.0</v>
      </c>
      <c r="M73" s="1">
        <v>4.61</v>
      </c>
      <c r="N73" s="1" t="s">
        <v>19</v>
      </c>
    </row>
    <row r="74">
      <c r="A74" s="23" t="s">
        <v>61</v>
      </c>
      <c r="B74" s="1" t="s">
        <v>68</v>
      </c>
      <c r="C74" s="1">
        <v>2021.0</v>
      </c>
      <c r="D74" s="1">
        <v>5.14</v>
      </c>
      <c r="E74" s="1">
        <v>74.0</v>
      </c>
      <c r="F74" s="1">
        <v>6.9</v>
      </c>
      <c r="G74" s="1">
        <v>5.5</v>
      </c>
      <c r="H74" s="1">
        <v>0.8</v>
      </c>
      <c r="I74" s="1">
        <v>22.3603189164</v>
      </c>
      <c r="J74" s="1">
        <v>0.62</v>
      </c>
      <c r="K74" s="1">
        <v>6.54</v>
      </c>
      <c r="L74" s="1">
        <v>22.0</v>
      </c>
      <c r="M74" s="1">
        <v>3.24</v>
      </c>
      <c r="N74" s="1" t="s">
        <v>19</v>
      </c>
    </row>
    <row r="75">
      <c r="A75" s="23" t="s">
        <v>61</v>
      </c>
      <c r="B75" s="1" t="s">
        <v>68</v>
      </c>
      <c r="C75" s="1">
        <v>2022.0</v>
      </c>
      <c r="D75" s="1">
        <v>4.87</v>
      </c>
      <c r="E75" s="1">
        <v>75.0</v>
      </c>
      <c r="F75" s="1">
        <v>7.1</v>
      </c>
      <c r="G75" s="1">
        <v>7.7</v>
      </c>
      <c r="H75" s="1">
        <v>1.0</v>
      </c>
      <c r="I75" s="1">
        <v>22.2139202134</v>
      </c>
      <c r="J75" s="1">
        <v>0.67</v>
      </c>
      <c r="K75" s="1">
        <v>10.88</v>
      </c>
      <c r="L75" s="1">
        <v>23.0</v>
      </c>
      <c r="M75" s="1">
        <v>5.14</v>
      </c>
      <c r="N75" s="1" t="s">
        <v>19</v>
      </c>
    </row>
    <row r="76">
      <c r="A76" s="23" t="s">
        <v>61</v>
      </c>
      <c r="B76" s="1" t="s">
        <v>68</v>
      </c>
      <c r="C76" s="1">
        <v>2023.0</v>
      </c>
      <c r="D76" s="1">
        <v>6.7</v>
      </c>
      <c r="E76" s="1">
        <v>76.0</v>
      </c>
      <c r="F76" s="1">
        <v>5.8</v>
      </c>
      <c r="G76" s="1">
        <v>9.9</v>
      </c>
      <c r="H76" s="1">
        <v>1.2</v>
      </c>
      <c r="I76" s="1">
        <v>22.1842037411</v>
      </c>
      <c r="J76" s="1">
        <v>0.51</v>
      </c>
      <c r="K76" s="1">
        <v>8.24</v>
      </c>
      <c r="L76" s="1">
        <v>24.0</v>
      </c>
      <c r="M76" s="1">
        <v>4.87</v>
      </c>
      <c r="N76" s="1" t="s">
        <v>19</v>
      </c>
    </row>
    <row r="77">
      <c r="A77" s="23" t="s">
        <v>61</v>
      </c>
      <c r="B77" s="1" t="s">
        <v>68</v>
      </c>
      <c r="C77" s="1">
        <v>2024.0</v>
      </c>
      <c r="D77" s="1">
        <v>11.4</v>
      </c>
      <c r="E77" s="1">
        <v>77.0</v>
      </c>
      <c r="F77" s="1">
        <v>4.2</v>
      </c>
      <c r="G77" s="1">
        <v>10.5</v>
      </c>
      <c r="H77" s="1">
        <v>1.2</v>
      </c>
      <c r="I77" s="1">
        <v>22.2139202134</v>
      </c>
      <c r="J77" s="1">
        <v>0.55</v>
      </c>
      <c r="K77" s="1">
        <v>9.04</v>
      </c>
      <c r="L77" s="1">
        <v>25.0</v>
      </c>
      <c r="M77" s="1">
        <v>6.7</v>
      </c>
      <c r="N77" s="1" t="s">
        <v>19</v>
      </c>
    </row>
    <row r="78">
      <c r="A78" s="23" t="s">
        <v>61</v>
      </c>
      <c r="B78" s="1" t="s">
        <v>69</v>
      </c>
      <c r="C78" s="1">
        <v>2014.0</v>
      </c>
      <c r="D78" s="1">
        <v>2.29</v>
      </c>
      <c r="E78" s="1">
        <v>75.0</v>
      </c>
      <c r="F78" s="1">
        <v>6.1</v>
      </c>
      <c r="G78" s="1">
        <v>7.0</v>
      </c>
      <c r="H78" s="1">
        <v>0.9</v>
      </c>
      <c r="I78" s="1">
        <v>22.7042673058</v>
      </c>
      <c r="J78" s="1">
        <v>0.58</v>
      </c>
      <c r="K78" s="1">
        <v>7.8</v>
      </c>
      <c r="L78" s="1">
        <v>160.0</v>
      </c>
      <c r="M78" s="1">
        <v>1.8</v>
      </c>
      <c r="N78" s="1" t="s">
        <v>19</v>
      </c>
    </row>
    <row r="79">
      <c r="A79" s="23" t="s">
        <v>61</v>
      </c>
      <c r="B79" s="1" t="s">
        <v>69</v>
      </c>
      <c r="C79" s="1">
        <v>2015.0</v>
      </c>
      <c r="D79" s="1">
        <v>4.9</v>
      </c>
      <c r="E79" s="1">
        <v>75.0</v>
      </c>
      <c r="F79" s="1">
        <v>6.6</v>
      </c>
      <c r="G79" s="1">
        <v>6.2</v>
      </c>
      <c r="H79" s="1">
        <v>0.9</v>
      </c>
      <c r="I79" s="1">
        <v>22.5803447723</v>
      </c>
      <c r="J79" s="24">
        <v>-1.1</v>
      </c>
      <c r="K79" s="1">
        <v>-5.2</v>
      </c>
      <c r="L79" s="1">
        <v>161.0</v>
      </c>
      <c r="M79" s="1">
        <v>2.29</v>
      </c>
      <c r="N79" s="1" t="s">
        <v>19</v>
      </c>
    </row>
    <row r="80">
      <c r="A80" s="23" t="s">
        <v>61</v>
      </c>
      <c r="B80" s="1" t="s">
        <v>69</v>
      </c>
      <c r="C80" s="1">
        <v>2016.0</v>
      </c>
      <c r="D80" s="1">
        <v>3.69</v>
      </c>
      <c r="E80" s="1">
        <v>74.0</v>
      </c>
      <c r="F80" s="1">
        <v>7.1</v>
      </c>
      <c r="G80" s="1">
        <v>5.5</v>
      </c>
      <c r="H80" s="1">
        <v>0.9</v>
      </c>
      <c r="I80" s="1">
        <v>22.5888951547</v>
      </c>
      <c r="J80" s="1">
        <v>0.06</v>
      </c>
      <c r="K80" s="25">
        <v>-1.1</v>
      </c>
      <c r="L80" s="1">
        <v>162.0</v>
      </c>
      <c r="M80" s="1">
        <v>4.9</v>
      </c>
      <c r="N80" s="1" t="s">
        <v>19</v>
      </c>
    </row>
    <row r="81">
      <c r="A81" s="23" t="s">
        <v>61</v>
      </c>
      <c r="B81" s="1" t="s">
        <v>69</v>
      </c>
      <c r="C81" s="1">
        <v>2017.0</v>
      </c>
      <c r="D81" s="1">
        <v>2.23</v>
      </c>
      <c r="E81" s="1">
        <v>72.0</v>
      </c>
      <c r="F81" s="1">
        <v>6.6</v>
      </c>
      <c r="G81" s="1">
        <v>5.7</v>
      </c>
      <c r="H81" s="1">
        <v>0.9</v>
      </c>
      <c r="I81" s="1">
        <v>22.6148706411</v>
      </c>
      <c r="J81" s="1">
        <v>0.19</v>
      </c>
      <c r="K81" s="1">
        <v>2.45</v>
      </c>
      <c r="L81" s="1">
        <v>163.0</v>
      </c>
      <c r="M81" s="1">
        <v>3.69</v>
      </c>
      <c r="N81" s="1" t="s">
        <v>19</v>
      </c>
    </row>
    <row r="82">
      <c r="A82" s="23" t="s">
        <v>61</v>
      </c>
      <c r="B82" s="1" t="s">
        <v>69</v>
      </c>
      <c r="C82" s="1">
        <v>2018.0</v>
      </c>
      <c r="D82" s="1">
        <v>2.65</v>
      </c>
      <c r="E82" s="1">
        <v>74.0</v>
      </c>
      <c r="F82" s="1">
        <v>7.3</v>
      </c>
      <c r="G82" s="1">
        <v>5.5</v>
      </c>
      <c r="H82" s="1">
        <v>0.8</v>
      </c>
      <c r="I82" s="1">
        <v>22.6518844889</v>
      </c>
      <c r="J82" s="26">
        <v>0.38</v>
      </c>
      <c r="K82" s="1">
        <v>4.99</v>
      </c>
      <c r="L82" s="1">
        <v>164.0</v>
      </c>
      <c r="M82" s="1">
        <v>2.23</v>
      </c>
      <c r="N82" s="1" t="s">
        <v>19</v>
      </c>
    </row>
    <row r="83">
      <c r="A83" s="23" t="s">
        <v>61</v>
      </c>
      <c r="B83" s="1" t="s">
        <v>69</v>
      </c>
      <c r="C83" s="1">
        <v>2019.0</v>
      </c>
      <c r="D83" s="1">
        <v>2.7</v>
      </c>
      <c r="E83" s="1">
        <v>74.0</v>
      </c>
      <c r="F83" s="1">
        <v>7.9</v>
      </c>
      <c r="G83" s="1">
        <v>5.6</v>
      </c>
      <c r="H83" s="1">
        <v>0.8</v>
      </c>
      <c r="I83" s="1">
        <v>22.6979022643</v>
      </c>
      <c r="J83" s="1">
        <v>0.32</v>
      </c>
      <c r="K83" s="1">
        <v>6.4</v>
      </c>
      <c r="L83" s="1">
        <v>165.0</v>
      </c>
      <c r="M83" s="1">
        <v>2.65</v>
      </c>
      <c r="N83" s="1" t="s">
        <v>19</v>
      </c>
    </row>
    <row r="84">
      <c r="A84" s="23" t="s">
        <v>61</v>
      </c>
      <c r="B84" s="1" t="s">
        <v>69</v>
      </c>
      <c r="C84" s="1">
        <v>2020.0</v>
      </c>
      <c r="D84" s="1">
        <v>3.2</v>
      </c>
      <c r="E84" s="1">
        <v>74.0</v>
      </c>
      <c r="F84" s="1">
        <v>3.4</v>
      </c>
      <c r="G84" s="1">
        <v>5.7</v>
      </c>
      <c r="H84" s="1">
        <v>0.8</v>
      </c>
      <c r="I84" s="1">
        <v>22.7888619718</v>
      </c>
      <c r="J84" s="1">
        <v>4.56</v>
      </c>
      <c r="K84" s="1">
        <v>21.15</v>
      </c>
      <c r="L84" s="1">
        <v>166.0</v>
      </c>
      <c r="M84" s="1">
        <v>2.7</v>
      </c>
      <c r="N84" s="1" t="s">
        <v>19</v>
      </c>
    </row>
    <row r="85">
      <c r="A85" s="23" t="s">
        <v>61</v>
      </c>
      <c r="B85" s="1" t="s">
        <v>69</v>
      </c>
      <c r="C85" s="1">
        <v>2021.0</v>
      </c>
      <c r="D85" s="1">
        <v>3.16</v>
      </c>
      <c r="E85" s="1">
        <v>74.0</v>
      </c>
      <c r="F85" s="1">
        <v>6.9</v>
      </c>
      <c r="G85" s="1">
        <v>5.5</v>
      </c>
      <c r="H85" s="1">
        <v>0.8</v>
      </c>
      <c r="I85" s="1">
        <v>21.9352068109</v>
      </c>
      <c r="J85" s="1">
        <v>0.4</v>
      </c>
      <c r="K85" s="1">
        <v>6.36</v>
      </c>
      <c r="L85" s="1">
        <v>167.0</v>
      </c>
      <c r="M85" s="1">
        <v>3.2</v>
      </c>
      <c r="N85" s="1" t="s">
        <v>19</v>
      </c>
    </row>
    <row r="86">
      <c r="A86" s="23" t="s">
        <v>61</v>
      </c>
      <c r="B86" s="1" t="s">
        <v>69</v>
      </c>
      <c r="C86" s="1">
        <v>2022.0</v>
      </c>
      <c r="D86" s="1">
        <v>3.58</v>
      </c>
      <c r="E86" s="1">
        <v>75.0</v>
      </c>
      <c r="F86" s="1">
        <v>7.1</v>
      </c>
      <c r="G86" s="1">
        <v>7.7</v>
      </c>
      <c r="H86" s="1">
        <v>1.0</v>
      </c>
      <c r="I86" s="1">
        <v>21.9817268266</v>
      </c>
      <c r="J86" s="1">
        <v>0.35</v>
      </c>
      <c r="K86" s="1">
        <v>5.8</v>
      </c>
      <c r="L86" s="1">
        <v>168.0</v>
      </c>
      <c r="M86" s="1">
        <v>3.16</v>
      </c>
      <c r="N86" s="1" t="s">
        <v>19</v>
      </c>
    </row>
    <row r="87">
      <c r="A87" s="23" t="s">
        <v>61</v>
      </c>
      <c r="B87" s="1" t="s">
        <v>69</v>
      </c>
      <c r="C87" s="1">
        <v>2023.0</v>
      </c>
      <c r="D87" s="1">
        <v>3.23</v>
      </c>
      <c r="E87" s="1">
        <v>76.0</v>
      </c>
      <c r="F87" s="1">
        <v>5.8</v>
      </c>
      <c r="G87" s="1">
        <v>9.9</v>
      </c>
      <c r="H87" s="1">
        <v>1.2</v>
      </c>
      <c r="I87" s="1">
        <v>22.0842423901</v>
      </c>
      <c r="J87" s="1">
        <v>5.43</v>
      </c>
      <c r="K87" s="1">
        <v>24.21</v>
      </c>
      <c r="L87" s="1">
        <v>169.0</v>
      </c>
      <c r="M87" s="1">
        <v>3.58</v>
      </c>
      <c r="N87" s="1" t="s">
        <v>19</v>
      </c>
    </row>
    <row r="88">
      <c r="A88" s="23" t="s">
        <v>61</v>
      </c>
      <c r="B88" s="1" t="s">
        <v>69</v>
      </c>
      <c r="C88" s="1">
        <v>2024.0</v>
      </c>
      <c r="D88" s="1">
        <v>2.76</v>
      </c>
      <c r="E88" s="1">
        <v>77.0</v>
      </c>
      <c r="F88" s="1">
        <v>4.2</v>
      </c>
      <c r="G88" s="1">
        <v>10.5</v>
      </c>
      <c r="H88" s="1">
        <v>1.2</v>
      </c>
      <c r="I88" s="1">
        <v>22.3984914899</v>
      </c>
      <c r="J88" s="1">
        <v>3.55</v>
      </c>
      <c r="K88" s="1">
        <v>18.45</v>
      </c>
      <c r="L88" s="1">
        <v>170.0</v>
      </c>
      <c r="M88" s="1">
        <v>3.23</v>
      </c>
      <c r="N88" s="1" t="s">
        <v>19</v>
      </c>
    </row>
    <row r="89">
      <c r="A89" s="23" t="s">
        <v>61</v>
      </c>
      <c r="B89" s="27" t="s">
        <v>70</v>
      </c>
      <c r="C89" s="1">
        <v>2014.0</v>
      </c>
      <c r="D89" s="1">
        <v>5.49</v>
      </c>
      <c r="E89" s="1">
        <v>75.0</v>
      </c>
      <c r="F89" s="1">
        <v>6.1</v>
      </c>
      <c r="G89" s="1">
        <v>7.0</v>
      </c>
      <c r="H89" s="1">
        <v>0.9</v>
      </c>
      <c r="I89" s="1">
        <v>21.4263633484</v>
      </c>
      <c r="J89" s="1">
        <v>0.35</v>
      </c>
      <c r="K89" s="1">
        <v>4.56</v>
      </c>
      <c r="L89" s="1">
        <v>19.0</v>
      </c>
      <c r="M89" s="1">
        <v>4.82</v>
      </c>
      <c r="N89" s="1" t="s">
        <v>17</v>
      </c>
    </row>
    <row r="90">
      <c r="A90" s="23" t="s">
        <v>61</v>
      </c>
      <c r="B90" s="27" t="s">
        <v>70</v>
      </c>
      <c r="C90" s="1">
        <v>2015.0</v>
      </c>
      <c r="D90" s="1">
        <v>4.66</v>
      </c>
      <c r="E90" s="1">
        <v>75.0</v>
      </c>
      <c r="F90" s="1">
        <v>6.6</v>
      </c>
      <c r="G90" s="1">
        <v>6.2</v>
      </c>
      <c r="H90" s="1">
        <v>0.9</v>
      </c>
      <c r="I90" s="1">
        <v>21.5341960532</v>
      </c>
      <c r="J90" s="1">
        <v>0.86</v>
      </c>
      <c r="K90" s="1">
        <v>11.0</v>
      </c>
      <c r="L90" s="1">
        <v>20.0</v>
      </c>
      <c r="M90" s="1">
        <v>5.49</v>
      </c>
      <c r="N90" s="1" t="s">
        <v>17</v>
      </c>
    </row>
    <row r="91">
      <c r="A91" s="23" t="s">
        <v>61</v>
      </c>
      <c r="B91" s="27" t="s">
        <v>70</v>
      </c>
      <c r="C91" s="1">
        <v>2016.0</v>
      </c>
      <c r="D91" s="1">
        <v>4.01</v>
      </c>
      <c r="E91" s="1">
        <v>74.0</v>
      </c>
      <c r="F91" s="1">
        <v>7.1</v>
      </c>
      <c r="G91" s="1">
        <v>5.5</v>
      </c>
      <c r="H91" s="1">
        <v>0.9</v>
      </c>
      <c r="I91" s="1">
        <v>21.6593591961</v>
      </c>
      <c r="J91" s="1">
        <v>0.82</v>
      </c>
      <c r="K91" s="1">
        <v>10.84</v>
      </c>
      <c r="L91" s="1">
        <v>21.0</v>
      </c>
      <c r="M91" s="1">
        <v>4.66</v>
      </c>
      <c r="N91" s="1" t="s">
        <v>17</v>
      </c>
    </row>
    <row r="92">
      <c r="A92" s="23" t="s">
        <v>61</v>
      </c>
      <c r="B92" s="27" t="s">
        <v>70</v>
      </c>
      <c r="C92" s="1">
        <v>2017.0</v>
      </c>
      <c r="D92" s="1">
        <v>3.15</v>
      </c>
      <c r="E92" s="1">
        <v>72.0</v>
      </c>
      <c r="F92" s="1">
        <v>6.6</v>
      </c>
      <c r="G92" s="1">
        <v>5.7</v>
      </c>
      <c r="H92" s="1">
        <v>0.9</v>
      </c>
      <c r="I92" s="1">
        <v>21.7457167646</v>
      </c>
      <c r="J92" s="1">
        <v>0.69</v>
      </c>
      <c r="K92" s="1">
        <v>10.07</v>
      </c>
      <c r="L92" s="1">
        <v>22.0</v>
      </c>
      <c r="M92" s="1">
        <v>4.01</v>
      </c>
      <c r="N92" s="1" t="s">
        <v>17</v>
      </c>
    </row>
    <row r="93">
      <c r="A93" s="23" t="s">
        <v>61</v>
      </c>
      <c r="B93" s="27" t="s">
        <v>70</v>
      </c>
      <c r="C93" s="1">
        <v>2018.0</v>
      </c>
      <c r="D93" s="1">
        <v>4.99</v>
      </c>
      <c r="E93" s="1">
        <v>74.0</v>
      </c>
      <c r="F93" s="1">
        <v>7.3</v>
      </c>
      <c r="G93" s="1">
        <v>5.5</v>
      </c>
      <c r="H93" s="1">
        <v>0.8</v>
      </c>
      <c r="I93" s="1">
        <v>21.9111092593</v>
      </c>
      <c r="J93" s="1">
        <v>0.54</v>
      </c>
      <c r="K93" s="1">
        <v>8.18</v>
      </c>
      <c r="L93" s="1">
        <v>23.0</v>
      </c>
      <c r="M93" s="1">
        <v>3.15</v>
      </c>
      <c r="N93" s="1" t="s">
        <v>17</v>
      </c>
    </row>
    <row r="94">
      <c r="A94" s="23" t="s">
        <v>61</v>
      </c>
      <c r="B94" s="27" t="s">
        <v>70</v>
      </c>
      <c r="C94" s="1">
        <v>2019.0</v>
      </c>
      <c r="D94" s="1">
        <v>4.74</v>
      </c>
      <c r="E94" s="1">
        <v>74.0</v>
      </c>
      <c r="F94" s="1">
        <v>7.9</v>
      </c>
      <c r="G94" s="1">
        <v>5.6</v>
      </c>
      <c r="H94" s="1">
        <v>0.8</v>
      </c>
      <c r="I94" s="1">
        <v>21.9352068109</v>
      </c>
      <c r="J94" s="28">
        <v>0.56</v>
      </c>
      <c r="K94" s="1">
        <v>9.28</v>
      </c>
      <c r="L94" s="1">
        <v>24.0</v>
      </c>
      <c r="M94" s="1">
        <v>4.99</v>
      </c>
      <c r="N94" s="1" t="s">
        <v>17</v>
      </c>
    </row>
    <row r="95">
      <c r="A95" s="23" t="s">
        <v>61</v>
      </c>
      <c r="B95" s="27" t="s">
        <v>70</v>
      </c>
      <c r="C95" s="1">
        <v>2020.0</v>
      </c>
      <c r="D95" s="1">
        <v>3.13</v>
      </c>
      <c r="E95" s="1">
        <v>74.0</v>
      </c>
      <c r="F95" s="1">
        <v>3.4</v>
      </c>
      <c r="G95" s="1">
        <v>5.7</v>
      </c>
      <c r="H95" s="1">
        <v>0.8</v>
      </c>
      <c r="I95" s="1">
        <v>21.9702981307</v>
      </c>
      <c r="J95" s="1">
        <v>0.7</v>
      </c>
      <c r="K95" s="1">
        <v>11.28</v>
      </c>
      <c r="L95" s="1">
        <v>25.0</v>
      </c>
      <c r="M95" s="1">
        <v>4.74</v>
      </c>
      <c r="N95" s="1" t="s">
        <v>17</v>
      </c>
    </row>
    <row r="96">
      <c r="A96" s="23" t="s">
        <v>61</v>
      </c>
      <c r="B96" s="27" t="s">
        <v>70</v>
      </c>
      <c r="C96" s="1">
        <v>2021.0</v>
      </c>
      <c r="D96" s="1">
        <v>3.32</v>
      </c>
      <c r="E96" s="1">
        <v>74.0</v>
      </c>
      <c r="F96" s="1">
        <v>6.9</v>
      </c>
      <c r="G96" s="1">
        <v>5.5</v>
      </c>
      <c r="H96" s="1">
        <v>0.8</v>
      </c>
      <c r="I96" s="1">
        <v>22.0868032109</v>
      </c>
      <c r="J96" s="1">
        <v>0.65</v>
      </c>
      <c r="K96" s="1">
        <v>10.53</v>
      </c>
      <c r="L96" s="1">
        <v>26.0</v>
      </c>
      <c r="M96" s="1">
        <v>3.13</v>
      </c>
      <c r="N96" s="1" t="s">
        <v>17</v>
      </c>
    </row>
    <row r="97">
      <c r="A97" s="23" t="s">
        <v>61</v>
      </c>
      <c r="B97" s="27" t="s">
        <v>70</v>
      </c>
      <c r="C97" s="1">
        <v>2022.0</v>
      </c>
      <c r="D97" s="1">
        <v>5.09</v>
      </c>
      <c r="E97" s="1">
        <v>75.0</v>
      </c>
      <c r="F97" s="1">
        <v>7.1</v>
      </c>
      <c r="G97" s="1">
        <v>7.7</v>
      </c>
      <c r="H97" s="1">
        <v>1.0</v>
      </c>
      <c r="I97" s="1">
        <v>21.9111092593</v>
      </c>
      <c r="J97" s="1">
        <v>0.49</v>
      </c>
      <c r="K97" s="1">
        <v>8.09</v>
      </c>
      <c r="L97" s="1">
        <v>27.0</v>
      </c>
      <c r="M97" s="1">
        <v>3.32</v>
      </c>
      <c r="N97" s="1" t="s">
        <v>17</v>
      </c>
    </row>
    <row r="98">
      <c r="A98" s="23" t="s">
        <v>61</v>
      </c>
      <c r="B98" s="27" t="s">
        <v>70</v>
      </c>
      <c r="C98" s="1">
        <v>2023.0</v>
      </c>
      <c r="D98" s="1">
        <v>3.65</v>
      </c>
      <c r="E98" s="1">
        <v>76.0</v>
      </c>
      <c r="F98" s="1">
        <v>5.8</v>
      </c>
      <c r="G98" s="1">
        <v>9.9</v>
      </c>
      <c r="H98" s="1">
        <v>1.2</v>
      </c>
      <c r="I98" s="1">
        <v>21.9587373083</v>
      </c>
      <c r="J98" s="1">
        <v>0.48</v>
      </c>
      <c r="K98" s="1">
        <v>8.14</v>
      </c>
      <c r="L98" s="1">
        <v>28.0</v>
      </c>
      <c r="M98" s="1">
        <v>5.09</v>
      </c>
      <c r="N98" s="1" t="s">
        <v>17</v>
      </c>
    </row>
    <row r="99">
      <c r="A99" s="23" t="s">
        <v>61</v>
      </c>
      <c r="B99" s="27" t="s">
        <v>70</v>
      </c>
      <c r="C99" s="1">
        <v>2024.0</v>
      </c>
      <c r="D99" s="1">
        <v>5.33</v>
      </c>
      <c r="E99" s="1">
        <v>77.0</v>
      </c>
      <c r="F99" s="1">
        <v>4.2</v>
      </c>
      <c r="G99" s="1">
        <v>10.5</v>
      </c>
      <c r="H99" s="1">
        <v>1.2</v>
      </c>
      <c r="I99" s="1">
        <v>22.0893574907</v>
      </c>
      <c r="J99" s="1">
        <v>0.31</v>
      </c>
      <c r="K99" s="1">
        <v>5.71</v>
      </c>
      <c r="L99" s="1">
        <v>29.0</v>
      </c>
      <c r="M99" s="28">
        <v>3.65</v>
      </c>
      <c r="N99" s="1" t="s">
        <v>17</v>
      </c>
    </row>
    <row r="100">
      <c r="A100" s="23" t="s">
        <v>61</v>
      </c>
      <c r="B100" s="1" t="s">
        <v>71</v>
      </c>
      <c r="C100" s="1">
        <v>2014.0</v>
      </c>
      <c r="D100" s="1">
        <v>4.36</v>
      </c>
      <c r="E100" s="1">
        <v>75.0</v>
      </c>
      <c r="F100" s="1">
        <v>6.1</v>
      </c>
      <c r="G100" s="1">
        <v>7.0</v>
      </c>
      <c r="H100" s="1">
        <v>0.9</v>
      </c>
      <c r="I100" s="1">
        <v>21.5207730328</v>
      </c>
      <c r="J100" s="1">
        <v>1.28</v>
      </c>
      <c r="K100" s="1">
        <v>10.93</v>
      </c>
      <c r="L100" s="1">
        <v>22.0</v>
      </c>
      <c r="M100" s="1">
        <v>3.59</v>
      </c>
      <c r="N100" s="1" t="s">
        <v>19</v>
      </c>
    </row>
    <row r="101">
      <c r="A101" s="23" t="s">
        <v>61</v>
      </c>
      <c r="B101" s="1" t="s">
        <v>71</v>
      </c>
      <c r="C101" s="1">
        <v>2015.0</v>
      </c>
      <c r="D101" s="1">
        <v>3.27</v>
      </c>
      <c r="E101" s="1">
        <v>75.0</v>
      </c>
      <c r="F101" s="1">
        <v>6.6</v>
      </c>
      <c r="G101" s="1">
        <v>6.2</v>
      </c>
      <c r="H101" s="1">
        <v>0.9</v>
      </c>
      <c r="I101" s="1">
        <v>21.6111570943</v>
      </c>
      <c r="J101" s="1">
        <v>1.23</v>
      </c>
      <c r="K101" s="1">
        <v>10.95</v>
      </c>
      <c r="L101" s="1">
        <v>23.0</v>
      </c>
      <c r="M101" s="1">
        <v>4.36</v>
      </c>
      <c r="N101" s="1" t="s">
        <v>19</v>
      </c>
    </row>
    <row r="102">
      <c r="A102" s="23" t="s">
        <v>61</v>
      </c>
      <c r="B102" s="1" t="s">
        <v>71</v>
      </c>
      <c r="C102" s="1">
        <v>2016.0</v>
      </c>
      <c r="D102" s="1">
        <v>2.69</v>
      </c>
      <c r="E102" s="1">
        <v>74.0</v>
      </c>
      <c r="F102" s="1">
        <v>7.1</v>
      </c>
      <c r="G102" s="1">
        <v>5.5</v>
      </c>
      <c r="H102" s="1">
        <v>0.9</v>
      </c>
      <c r="I102" s="1">
        <v>21.7154058811</v>
      </c>
      <c r="J102" s="1">
        <v>1.33</v>
      </c>
      <c r="K102" s="1">
        <v>12.94</v>
      </c>
      <c r="L102" s="1">
        <v>24.0</v>
      </c>
      <c r="M102" s="1">
        <v>3.27</v>
      </c>
      <c r="N102" s="1" t="s">
        <v>19</v>
      </c>
    </row>
    <row r="103">
      <c r="A103" s="23" t="s">
        <v>61</v>
      </c>
      <c r="B103" s="1" t="s">
        <v>71</v>
      </c>
      <c r="C103" s="1">
        <v>2017.0</v>
      </c>
      <c r="D103" s="1">
        <v>2.5</v>
      </c>
      <c r="E103" s="1">
        <v>72.0</v>
      </c>
      <c r="F103" s="1">
        <v>6.6</v>
      </c>
      <c r="G103" s="1">
        <v>5.7</v>
      </c>
      <c r="H103" s="1">
        <v>0.9</v>
      </c>
      <c r="I103" s="1">
        <v>21.8674886369</v>
      </c>
      <c r="J103" s="1">
        <v>1.04</v>
      </c>
      <c r="K103" s="1">
        <v>11.41</v>
      </c>
      <c r="L103" s="1">
        <v>25.0</v>
      </c>
      <c r="M103" s="1">
        <v>2.69</v>
      </c>
      <c r="N103" s="1" t="s">
        <v>19</v>
      </c>
    </row>
    <row r="104">
      <c r="A104" s="23" t="s">
        <v>61</v>
      </c>
      <c r="B104" s="1" t="s">
        <v>71</v>
      </c>
      <c r="C104" s="1">
        <v>2018.0</v>
      </c>
      <c r="D104" s="1">
        <v>2.35</v>
      </c>
      <c r="E104" s="1">
        <v>74.0</v>
      </c>
      <c r="F104" s="1">
        <v>7.3</v>
      </c>
      <c r="G104" s="1">
        <v>5.5</v>
      </c>
      <c r="H104" s="1">
        <v>0.8</v>
      </c>
      <c r="I104" s="1">
        <v>21.9411415464</v>
      </c>
      <c r="J104" s="1">
        <v>1.15</v>
      </c>
      <c r="K104" s="1">
        <v>13.83</v>
      </c>
      <c r="L104" s="1">
        <v>26.0</v>
      </c>
      <c r="M104" s="1">
        <v>2.5</v>
      </c>
      <c r="N104" s="1" t="s">
        <v>19</v>
      </c>
    </row>
    <row r="105">
      <c r="A105" s="23" t="s">
        <v>61</v>
      </c>
      <c r="B105" s="1" t="s">
        <v>71</v>
      </c>
      <c r="C105" s="1">
        <v>2019.0</v>
      </c>
      <c r="D105" s="1">
        <v>3.35</v>
      </c>
      <c r="E105" s="1">
        <v>74.0</v>
      </c>
      <c r="F105" s="1">
        <v>7.9</v>
      </c>
      <c r="G105" s="1">
        <v>5.6</v>
      </c>
      <c r="H105" s="1">
        <v>0.8</v>
      </c>
      <c r="I105" s="1">
        <v>22.1005194534</v>
      </c>
      <c r="J105" s="1">
        <v>1.3</v>
      </c>
      <c r="K105" s="1">
        <v>16.52</v>
      </c>
      <c r="L105" s="1">
        <v>27.0</v>
      </c>
      <c r="M105" s="1">
        <v>2.35</v>
      </c>
      <c r="N105" s="1" t="s">
        <v>19</v>
      </c>
    </row>
    <row r="106">
      <c r="A106" s="23" t="s">
        <v>61</v>
      </c>
      <c r="B106" s="1" t="s">
        <v>71</v>
      </c>
      <c r="C106" s="1">
        <v>2020.0</v>
      </c>
      <c r="D106" s="1">
        <v>2.72</v>
      </c>
      <c r="E106" s="1">
        <v>74.0</v>
      </c>
      <c r="F106" s="1">
        <v>3.4</v>
      </c>
      <c r="G106" s="1">
        <v>5.7</v>
      </c>
      <c r="H106" s="1">
        <v>0.8</v>
      </c>
      <c r="I106" s="1">
        <v>22.1020319316</v>
      </c>
      <c r="J106" s="1">
        <v>1.22</v>
      </c>
      <c r="K106" s="1">
        <v>15.04</v>
      </c>
      <c r="L106" s="1">
        <v>28.0</v>
      </c>
      <c r="M106" s="1">
        <v>3.35</v>
      </c>
      <c r="N106" s="1" t="s">
        <v>19</v>
      </c>
    </row>
    <row r="107">
      <c r="A107" s="23" t="s">
        <v>61</v>
      </c>
      <c r="B107" s="1" t="s">
        <v>71</v>
      </c>
      <c r="C107" s="1">
        <v>2021.0</v>
      </c>
      <c r="D107" s="1">
        <v>3.7</v>
      </c>
      <c r="E107" s="1">
        <v>74.0</v>
      </c>
      <c r="F107" s="1">
        <v>6.9</v>
      </c>
      <c r="G107" s="1">
        <v>5.5</v>
      </c>
      <c r="H107" s="1">
        <v>0.8</v>
      </c>
      <c r="I107" s="1">
        <v>22.2339877764</v>
      </c>
      <c r="J107" s="1">
        <v>1.28</v>
      </c>
      <c r="K107" s="1">
        <v>15.51</v>
      </c>
      <c r="L107" s="1">
        <v>29.0</v>
      </c>
      <c r="M107" s="1">
        <v>2.72</v>
      </c>
      <c r="N107" s="1" t="s">
        <v>19</v>
      </c>
    </row>
    <row r="108">
      <c r="A108" s="23" t="s">
        <v>61</v>
      </c>
      <c r="B108" s="1" t="s">
        <v>71</v>
      </c>
      <c r="C108" s="1">
        <v>2022.0</v>
      </c>
      <c r="D108" s="1">
        <v>2.78</v>
      </c>
      <c r="E108" s="1">
        <v>75.0</v>
      </c>
      <c r="F108" s="1">
        <v>7.1</v>
      </c>
      <c r="G108" s="1">
        <v>7.7</v>
      </c>
      <c r="H108" s="1">
        <v>1.0</v>
      </c>
      <c r="I108" s="1">
        <v>22.1487809112</v>
      </c>
      <c r="J108" s="1">
        <v>1.21</v>
      </c>
      <c r="K108" s="1">
        <v>15.46</v>
      </c>
      <c r="L108" s="1">
        <v>30.0</v>
      </c>
      <c r="M108" s="1">
        <v>3.7</v>
      </c>
      <c r="N108" s="1" t="s">
        <v>19</v>
      </c>
    </row>
    <row r="109">
      <c r="A109" s="23" t="s">
        <v>61</v>
      </c>
      <c r="B109" s="1" t="s">
        <v>71</v>
      </c>
      <c r="C109" s="1">
        <v>2023.0</v>
      </c>
      <c r="D109" s="1">
        <v>3.1</v>
      </c>
      <c r="E109" s="1">
        <v>76.0</v>
      </c>
      <c r="F109" s="1">
        <v>5.8</v>
      </c>
      <c r="G109" s="1">
        <v>9.9</v>
      </c>
      <c r="H109" s="1">
        <v>1.2</v>
      </c>
      <c r="I109" s="1">
        <v>22.255822705</v>
      </c>
      <c r="J109" s="1">
        <v>1.27</v>
      </c>
      <c r="K109" s="1">
        <v>16.33</v>
      </c>
      <c r="L109" s="1">
        <v>31.0</v>
      </c>
      <c r="M109" s="1">
        <v>2.78</v>
      </c>
      <c r="N109" s="1" t="s">
        <v>19</v>
      </c>
    </row>
    <row r="110">
      <c r="A110" s="23" t="s">
        <v>61</v>
      </c>
      <c r="B110" s="1" t="s">
        <v>71</v>
      </c>
      <c r="C110" s="1">
        <v>2024.0</v>
      </c>
      <c r="D110" s="1">
        <v>3.34</v>
      </c>
      <c r="E110" s="1">
        <v>77.0</v>
      </c>
      <c r="F110" s="1">
        <v>4.2</v>
      </c>
      <c r="G110" s="1">
        <v>10.5</v>
      </c>
      <c r="H110" s="1">
        <v>1.2</v>
      </c>
      <c r="I110" s="1">
        <v>22.3591509194</v>
      </c>
      <c r="J110" s="1">
        <v>1.34</v>
      </c>
      <c r="K110" s="1">
        <v>18.63</v>
      </c>
      <c r="L110" s="1">
        <v>32.0</v>
      </c>
      <c r="M110" s="1">
        <v>3.1</v>
      </c>
      <c r="N110" s="1" t="s">
        <v>19</v>
      </c>
    </row>
    <row r="111">
      <c r="A111" s="23" t="s">
        <v>61</v>
      </c>
      <c r="B111" s="1" t="s">
        <v>72</v>
      </c>
      <c r="C111" s="1">
        <v>2014.0</v>
      </c>
      <c r="D111" s="1">
        <v>5.68</v>
      </c>
      <c r="E111" s="1">
        <v>75.0</v>
      </c>
      <c r="F111" s="1">
        <v>6.1</v>
      </c>
      <c r="G111" s="1">
        <v>7.0</v>
      </c>
      <c r="H111" s="1">
        <v>0.9</v>
      </c>
      <c r="I111" s="1">
        <v>21.3093844447</v>
      </c>
      <c r="J111" s="1">
        <v>1.06</v>
      </c>
      <c r="K111" s="1">
        <v>13.68</v>
      </c>
      <c r="L111" s="1">
        <v>13.0</v>
      </c>
      <c r="M111" s="1">
        <v>7.59</v>
      </c>
      <c r="N111" s="1" t="s">
        <v>19</v>
      </c>
    </row>
    <row r="112">
      <c r="A112" s="23" t="s">
        <v>61</v>
      </c>
      <c r="B112" s="1" t="s">
        <v>72</v>
      </c>
      <c r="C112" s="1">
        <v>2015.0</v>
      </c>
      <c r="D112" s="1">
        <v>6.69</v>
      </c>
      <c r="E112" s="1">
        <v>75.0</v>
      </c>
      <c r="F112" s="1">
        <v>6.6</v>
      </c>
      <c r="G112" s="1">
        <v>6.2</v>
      </c>
      <c r="H112" s="1">
        <v>0.9</v>
      </c>
      <c r="I112" s="1">
        <v>21.322102338</v>
      </c>
      <c r="J112" s="1">
        <v>1.16</v>
      </c>
      <c r="K112" s="1">
        <v>12.39</v>
      </c>
      <c r="L112" s="1">
        <v>14.0</v>
      </c>
      <c r="M112" s="1">
        <v>5.68</v>
      </c>
      <c r="N112" s="1" t="s">
        <v>19</v>
      </c>
    </row>
    <row r="113">
      <c r="A113" s="23" t="s">
        <v>61</v>
      </c>
      <c r="B113" s="1" t="s">
        <v>72</v>
      </c>
      <c r="C113" s="1">
        <v>2016.0</v>
      </c>
      <c r="D113" s="1">
        <v>4.05</v>
      </c>
      <c r="E113" s="1">
        <v>74.0</v>
      </c>
      <c r="F113" s="1">
        <v>7.1</v>
      </c>
      <c r="G113" s="1">
        <v>5.5</v>
      </c>
      <c r="H113" s="1">
        <v>0.9</v>
      </c>
      <c r="I113" s="1">
        <v>21.4887336791</v>
      </c>
      <c r="J113" s="1">
        <v>1.21</v>
      </c>
      <c r="K113" s="1">
        <v>11.89</v>
      </c>
      <c r="L113" s="1">
        <v>15.0</v>
      </c>
      <c r="M113" s="1">
        <v>6.69</v>
      </c>
      <c r="N113" s="1" t="s">
        <v>19</v>
      </c>
    </row>
    <row r="114">
      <c r="A114" s="23" t="s">
        <v>61</v>
      </c>
      <c r="B114" s="1" t="s">
        <v>72</v>
      </c>
      <c r="C114" s="1">
        <v>2017.0</v>
      </c>
      <c r="D114" s="1">
        <v>4.02</v>
      </c>
      <c r="E114" s="1">
        <v>72.0</v>
      </c>
      <c r="F114" s="1">
        <v>6.6</v>
      </c>
      <c r="G114" s="1">
        <v>5.7</v>
      </c>
      <c r="H114" s="1">
        <v>0.9</v>
      </c>
      <c r="I114" s="1">
        <v>21.5861557921</v>
      </c>
      <c r="J114" s="1">
        <v>1.11</v>
      </c>
      <c r="K114" s="1">
        <v>12.92</v>
      </c>
      <c r="L114" s="1">
        <v>16.0</v>
      </c>
      <c r="M114" s="1">
        <v>4.05</v>
      </c>
      <c r="N114" s="1" t="s">
        <v>19</v>
      </c>
    </row>
    <row r="115">
      <c r="A115" s="23" t="s">
        <v>61</v>
      </c>
      <c r="B115" s="1" t="s">
        <v>72</v>
      </c>
      <c r="C115" s="1">
        <v>2018.0</v>
      </c>
      <c r="D115" s="1">
        <v>0.69</v>
      </c>
      <c r="E115" s="1">
        <v>74.0</v>
      </c>
      <c r="F115" s="1">
        <v>7.3</v>
      </c>
      <c r="G115" s="1">
        <v>5.5</v>
      </c>
      <c r="H115" s="1">
        <v>0.8</v>
      </c>
      <c r="I115" s="1">
        <v>21.6632730954</v>
      </c>
      <c r="J115" s="1">
        <v>1.09</v>
      </c>
      <c r="K115" s="1">
        <v>13.62</v>
      </c>
      <c r="L115" s="1">
        <v>17.0</v>
      </c>
      <c r="M115" s="1">
        <v>4.02</v>
      </c>
      <c r="N115" s="1" t="s">
        <v>19</v>
      </c>
    </row>
    <row r="116">
      <c r="A116" s="23" t="s">
        <v>61</v>
      </c>
      <c r="B116" s="1" t="s">
        <v>72</v>
      </c>
      <c r="C116" s="1">
        <v>2019.0</v>
      </c>
      <c r="D116" s="1">
        <v>3.7</v>
      </c>
      <c r="E116" s="1">
        <v>74.0</v>
      </c>
      <c r="F116" s="1">
        <v>7.9</v>
      </c>
      <c r="G116" s="1">
        <v>5.6</v>
      </c>
      <c r="H116" s="1">
        <v>0.8</v>
      </c>
      <c r="I116" s="1">
        <v>21.7775778667</v>
      </c>
      <c r="J116" s="1">
        <v>1.11</v>
      </c>
      <c r="K116" s="1">
        <v>10.09</v>
      </c>
      <c r="L116" s="1">
        <v>18.0</v>
      </c>
      <c r="M116" s="1">
        <v>0.69</v>
      </c>
      <c r="N116" s="1" t="s">
        <v>19</v>
      </c>
    </row>
    <row r="117">
      <c r="A117" s="23" t="s">
        <v>61</v>
      </c>
      <c r="B117" s="1" t="s">
        <v>72</v>
      </c>
      <c r="C117" s="1">
        <v>2020.0</v>
      </c>
      <c r="D117" s="1">
        <v>2.95</v>
      </c>
      <c r="E117" s="1">
        <v>74.0</v>
      </c>
      <c r="F117" s="1">
        <v>3.4</v>
      </c>
      <c r="G117" s="1">
        <v>5.7</v>
      </c>
      <c r="H117" s="1">
        <v>0.8</v>
      </c>
      <c r="I117" s="1">
        <v>21.7705848312</v>
      </c>
      <c r="J117" s="1">
        <v>1.08</v>
      </c>
      <c r="K117" s="1">
        <v>9.47</v>
      </c>
      <c r="L117" s="1">
        <v>19.0</v>
      </c>
      <c r="M117" s="1">
        <v>3.7</v>
      </c>
      <c r="N117" s="1" t="s">
        <v>19</v>
      </c>
    </row>
    <row r="118">
      <c r="A118" s="23" t="s">
        <v>61</v>
      </c>
      <c r="B118" s="1" t="s">
        <v>72</v>
      </c>
      <c r="C118" s="1">
        <v>2021.0</v>
      </c>
      <c r="D118" s="1">
        <v>2.97</v>
      </c>
      <c r="E118" s="1">
        <v>74.0</v>
      </c>
      <c r="F118" s="1">
        <v>6.9</v>
      </c>
      <c r="G118" s="1">
        <v>5.5</v>
      </c>
      <c r="H118" s="1">
        <v>0.8</v>
      </c>
      <c r="I118" s="1">
        <v>21.8546679484</v>
      </c>
      <c r="J118" s="1">
        <v>0.98</v>
      </c>
      <c r="K118" s="1">
        <v>10.88</v>
      </c>
      <c r="L118" s="1">
        <v>20.0</v>
      </c>
      <c r="M118" s="1">
        <v>2.95</v>
      </c>
      <c r="N118" s="1" t="s">
        <v>19</v>
      </c>
    </row>
    <row r="119">
      <c r="A119" s="23" t="s">
        <v>61</v>
      </c>
      <c r="B119" s="1" t="s">
        <v>72</v>
      </c>
      <c r="C119" s="1">
        <v>2022.0</v>
      </c>
      <c r="D119" s="1">
        <v>5.32</v>
      </c>
      <c r="E119" s="1">
        <v>75.0</v>
      </c>
      <c r="F119" s="1">
        <v>7.1</v>
      </c>
      <c r="G119" s="1">
        <v>7.7</v>
      </c>
      <c r="H119" s="1">
        <v>1.0</v>
      </c>
      <c r="I119" s="1">
        <v>21.7493074328</v>
      </c>
      <c r="J119" s="1">
        <v>0.58</v>
      </c>
      <c r="K119" s="1">
        <v>7.69</v>
      </c>
      <c r="L119" s="1">
        <v>21.0</v>
      </c>
      <c r="M119" s="1">
        <v>2.97</v>
      </c>
      <c r="N119" s="1" t="s">
        <v>19</v>
      </c>
    </row>
    <row r="120">
      <c r="A120" s="23" t="s">
        <v>61</v>
      </c>
      <c r="B120" s="1" t="s">
        <v>72</v>
      </c>
      <c r="C120" s="1">
        <v>2023.0</v>
      </c>
      <c r="D120" s="1">
        <v>4.96</v>
      </c>
      <c r="E120" s="1">
        <v>76.0</v>
      </c>
      <c r="F120" s="1">
        <v>5.8</v>
      </c>
      <c r="G120" s="1">
        <v>9.9</v>
      </c>
      <c r="H120" s="1">
        <v>1.2</v>
      </c>
      <c r="I120" s="1">
        <v>21.7782744881</v>
      </c>
      <c r="J120" s="1">
        <v>0.8</v>
      </c>
      <c r="K120" s="1">
        <v>11.85</v>
      </c>
      <c r="L120" s="1">
        <v>22.0</v>
      </c>
      <c r="M120" s="1">
        <v>5.32</v>
      </c>
      <c r="N120" s="1" t="s">
        <v>19</v>
      </c>
    </row>
    <row r="121">
      <c r="A121" s="23" t="s">
        <v>61</v>
      </c>
      <c r="B121" s="1" t="s">
        <v>72</v>
      </c>
      <c r="C121" s="1">
        <v>2024.0</v>
      </c>
      <c r="D121" s="1">
        <v>6.92</v>
      </c>
      <c r="E121" s="1">
        <v>77.0</v>
      </c>
      <c r="F121" s="1">
        <v>4.2</v>
      </c>
      <c r="G121" s="1">
        <v>10.5</v>
      </c>
      <c r="H121" s="1">
        <v>1.2</v>
      </c>
      <c r="I121" s="1">
        <v>21.9262381409</v>
      </c>
      <c r="J121" s="1">
        <v>0.83</v>
      </c>
      <c r="K121" s="1">
        <v>13.33</v>
      </c>
      <c r="L121" s="1">
        <v>23.0</v>
      </c>
      <c r="M121" s="1">
        <v>4.96</v>
      </c>
      <c r="N121" s="1" t="s">
        <v>19</v>
      </c>
    </row>
    <row r="122">
      <c r="A122" s="23" t="s">
        <v>61</v>
      </c>
      <c r="B122" s="1" t="s">
        <v>73</v>
      </c>
      <c r="C122" s="1">
        <v>2014.0</v>
      </c>
      <c r="D122" s="1">
        <v>4.72</v>
      </c>
      <c r="E122" s="1">
        <v>75.0</v>
      </c>
      <c r="F122" s="1">
        <v>6.1</v>
      </c>
      <c r="G122" s="1">
        <v>7.0</v>
      </c>
      <c r="H122" s="1">
        <v>0.9</v>
      </c>
      <c r="I122" s="1">
        <v>21.1743414563</v>
      </c>
      <c r="J122" s="1">
        <v>1.87</v>
      </c>
      <c r="K122" s="1">
        <v>22.3</v>
      </c>
      <c r="L122" s="1">
        <v>15.0</v>
      </c>
      <c r="M122" s="1">
        <v>4.89</v>
      </c>
      <c r="N122" s="1" t="s">
        <v>19</v>
      </c>
    </row>
    <row r="123">
      <c r="A123" s="23" t="s">
        <v>61</v>
      </c>
      <c r="B123" s="1" t="s">
        <v>73</v>
      </c>
      <c r="C123" s="1">
        <v>2015.0</v>
      </c>
      <c r="D123" s="1">
        <v>3.58</v>
      </c>
      <c r="E123" s="1">
        <v>75.0</v>
      </c>
      <c r="F123" s="1">
        <v>6.6</v>
      </c>
      <c r="G123" s="1">
        <v>6.2</v>
      </c>
      <c r="H123" s="1">
        <v>0.9</v>
      </c>
      <c r="I123" s="1">
        <v>21.4012993797</v>
      </c>
      <c r="J123" s="1">
        <v>1.39</v>
      </c>
      <c r="K123" s="1">
        <v>17.63</v>
      </c>
      <c r="L123" s="1">
        <v>16.0</v>
      </c>
      <c r="M123" s="1">
        <v>4.72</v>
      </c>
      <c r="N123" s="1" t="s">
        <v>19</v>
      </c>
    </row>
    <row r="124">
      <c r="A124" s="23" t="s">
        <v>61</v>
      </c>
      <c r="B124" s="1" t="s">
        <v>73</v>
      </c>
      <c r="C124" s="1">
        <v>2016.0</v>
      </c>
      <c r="D124" s="1">
        <v>4.93</v>
      </c>
      <c r="E124" s="1">
        <v>74.0</v>
      </c>
      <c r="F124" s="1">
        <v>7.1</v>
      </c>
      <c r="G124" s="1">
        <v>5.5</v>
      </c>
      <c r="H124" s="1">
        <v>0.9</v>
      </c>
      <c r="I124" s="1">
        <v>21.5987345743</v>
      </c>
      <c r="J124" s="1">
        <v>1.2</v>
      </c>
      <c r="K124" s="1">
        <v>16.83</v>
      </c>
      <c r="L124" s="1">
        <v>17.0</v>
      </c>
      <c r="M124" s="1">
        <v>3.58</v>
      </c>
      <c r="N124" s="1" t="s">
        <v>19</v>
      </c>
    </row>
    <row r="125">
      <c r="A125" s="23" t="s">
        <v>61</v>
      </c>
      <c r="B125" s="1" t="s">
        <v>73</v>
      </c>
      <c r="C125" s="1">
        <v>2017.0</v>
      </c>
      <c r="D125" s="1">
        <v>5.31</v>
      </c>
      <c r="E125" s="1">
        <v>72.0</v>
      </c>
      <c r="F125" s="1">
        <v>6.6</v>
      </c>
      <c r="G125" s="1">
        <v>5.7</v>
      </c>
      <c r="H125" s="1">
        <v>0.9</v>
      </c>
      <c r="I125" s="1">
        <v>21.7238977173</v>
      </c>
      <c r="J125" s="1">
        <v>1.05</v>
      </c>
      <c r="K125" s="1">
        <v>15.46</v>
      </c>
      <c r="L125" s="1">
        <v>18.0</v>
      </c>
      <c r="M125" s="1">
        <v>4.93</v>
      </c>
      <c r="N125" s="1" t="s">
        <v>19</v>
      </c>
    </row>
    <row r="126">
      <c r="A126" s="23" t="s">
        <v>61</v>
      </c>
      <c r="B126" s="1" t="s">
        <v>73</v>
      </c>
      <c r="C126" s="1">
        <v>2018.0</v>
      </c>
      <c r="D126" s="1">
        <v>7.05</v>
      </c>
      <c r="E126" s="1">
        <v>74.0</v>
      </c>
      <c r="F126" s="1">
        <v>7.3</v>
      </c>
      <c r="G126" s="1">
        <v>5.5</v>
      </c>
      <c r="H126" s="1">
        <v>0.8</v>
      </c>
      <c r="I126" s="1">
        <v>21.8769974248</v>
      </c>
      <c r="J126" s="1">
        <v>0.56</v>
      </c>
      <c r="K126" s="1">
        <v>9.68</v>
      </c>
      <c r="L126" s="1">
        <v>19.0</v>
      </c>
      <c r="M126" s="1">
        <v>5.31</v>
      </c>
      <c r="N126" s="1" t="s">
        <v>19</v>
      </c>
    </row>
    <row r="127">
      <c r="A127" s="23" t="s">
        <v>61</v>
      </c>
      <c r="B127" s="1" t="s">
        <v>73</v>
      </c>
      <c r="C127" s="1">
        <v>2019.0</v>
      </c>
      <c r="D127" s="1">
        <v>9.24</v>
      </c>
      <c r="E127" s="1">
        <v>74.0</v>
      </c>
      <c r="F127" s="1">
        <v>7.9</v>
      </c>
      <c r="G127" s="1">
        <v>5.6</v>
      </c>
      <c r="H127" s="1">
        <v>0.8</v>
      </c>
      <c r="I127" s="1">
        <v>21.7191068476</v>
      </c>
      <c r="J127" s="1">
        <v>0.59</v>
      </c>
      <c r="K127" s="1">
        <v>10.34</v>
      </c>
      <c r="L127" s="1">
        <v>20.0</v>
      </c>
      <c r="M127" s="1">
        <v>7.05</v>
      </c>
      <c r="N127" s="1" t="s">
        <v>19</v>
      </c>
    </row>
    <row r="128">
      <c r="A128" s="23" t="s">
        <v>61</v>
      </c>
      <c r="B128" s="1" t="s">
        <v>73</v>
      </c>
      <c r="C128" s="1">
        <v>2020.0</v>
      </c>
      <c r="D128" s="1">
        <v>8.6</v>
      </c>
      <c r="E128" s="1">
        <v>74.0</v>
      </c>
      <c r="F128" s="1">
        <v>3.4</v>
      </c>
      <c r="G128" s="1">
        <v>5.7</v>
      </c>
      <c r="H128" s="1">
        <v>0.8</v>
      </c>
      <c r="I128" s="1">
        <v>21.7381341322</v>
      </c>
      <c r="J128" s="1">
        <v>0.44</v>
      </c>
      <c r="K128" s="1">
        <v>7.54</v>
      </c>
      <c r="L128" s="1">
        <v>21.0</v>
      </c>
      <c r="M128" s="1">
        <v>9.24</v>
      </c>
      <c r="N128" s="1" t="s">
        <v>19</v>
      </c>
    </row>
    <row r="129">
      <c r="A129" s="23" t="s">
        <v>61</v>
      </c>
      <c r="B129" s="1" t="s">
        <v>73</v>
      </c>
      <c r="C129" s="1">
        <v>2021.0</v>
      </c>
      <c r="D129" s="1">
        <v>11.55</v>
      </c>
      <c r="E129" s="1">
        <v>74.0</v>
      </c>
      <c r="F129" s="1">
        <v>6.9</v>
      </c>
      <c r="G129" s="1">
        <v>5.5</v>
      </c>
      <c r="H129" s="1">
        <v>0.8</v>
      </c>
      <c r="I129" s="1">
        <v>21.760357269</v>
      </c>
      <c r="J129" s="1">
        <v>0.25</v>
      </c>
      <c r="K129" s="1">
        <v>4.33</v>
      </c>
      <c r="L129" s="1">
        <v>22.0</v>
      </c>
      <c r="M129" s="1">
        <v>8.6</v>
      </c>
      <c r="N129" s="1" t="s">
        <v>19</v>
      </c>
    </row>
    <row r="130">
      <c r="A130" s="23" t="s">
        <v>61</v>
      </c>
      <c r="B130" s="1" t="s">
        <v>73</v>
      </c>
      <c r="C130" s="1">
        <v>2022.0</v>
      </c>
      <c r="D130" s="1">
        <v>13.97</v>
      </c>
      <c r="E130" s="1">
        <v>75.0</v>
      </c>
      <c r="F130" s="1">
        <v>7.1</v>
      </c>
      <c r="G130" s="1">
        <v>7.7</v>
      </c>
      <c r="H130" s="1">
        <v>1.0</v>
      </c>
      <c r="I130" s="1">
        <v>21.7747865181</v>
      </c>
      <c r="J130" s="1">
        <v>0.45</v>
      </c>
      <c r="K130" s="1">
        <v>7.57</v>
      </c>
      <c r="L130" s="1">
        <v>23.0</v>
      </c>
      <c r="M130" s="1">
        <v>11.55</v>
      </c>
      <c r="N130" s="1" t="s">
        <v>19</v>
      </c>
    </row>
    <row r="131">
      <c r="A131" s="23" t="s">
        <v>61</v>
      </c>
      <c r="B131" s="1" t="s">
        <v>73</v>
      </c>
      <c r="C131" s="1">
        <v>2023.0</v>
      </c>
      <c r="D131" s="1">
        <v>11.95</v>
      </c>
      <c r="E131" s="1">
        <v>76.0</v>
      </c>
      <c r="F131" s="1">
        <v>5.8</v>
      </c>
      <c r="G131" s="1">
        <v>9.9</v>
      </c>
      <c r="H131" s="1">
        <v>1.2</v>
      </c>
      <c r="I131" s="1">
        <v>21.783830058</v>
      </c>
      <c r="J131" s="28">
        <v>0.43</v>
      </c>
      <c r="K131" s="1">
        <v>7.05</v>
      </c>
      <c r="L131" s="1">
        <v>24.0</v>
      </c>
      <c r="M131" s="29">
        <v>13.97</v>
      </c>
      <c r="N131" s="1" t="s">
        <v>19</v>
      </c>
    </row>
    <row r="132">
      <c r="A132" s="23" t="s">
        <v>61</v>
      </c>
      <c r="B132" s="1" t="s">
        <v>73</v>
      </c>
      <c r="C132" s="1">
        <v>2024.0</v>
      </c>
      <c r="D132" s="1">
        <v>17.47</v>
      </c>
      <c r="E132" s="1">
        <v>77.0</v>
      </c>
      <c r="F132" s="1">
        <v>4.2</v>
      </c>
      <c r="G132" s="1">
        <v>10.5</v>
      </c>
      <c r="H132" s="1">
        <v>1.2</v>
      </c>
      <c r="I132" s="1">
        <v>21.8449433985</v>
      </c>
      <c r="J132" s="1">
        <v>0.39</v>
      </c>
      <c r="K132" s="1">
        <v>5.54</v>
      </c>
      <c r="L132" s="1">
        <v>25.0</v>
      </c>
      <c r="M132" s="1">
        <v>11.95</v>
      </c>
      <c r="N132" s="1" t="s">
        <v>19</v>
      </c>
    </row>
    <row r="133">
      <c r="A133" s="23" t="s">
        <v>61</v>
      </c>
      <c r="B133" s="1" t="s">
        <v>74</v>
      </c>
      <c r="C133" s="1">
        <v>2014.0</v>
      </c>
      <c r="D133" s="1">
        <v>2.67</v>
      </c>
      <c r="E133" s="1">
        <v>75.0</v>
      </c>
      <c r="F133" s="1">
        <v>6.1</v>
      </c>
      <c r="G133" s="1">
        <v>7.0</v>
      </c>
      <c r="H133" s="1">
        <v>0.9</v>
      </c>
      <c r="I133" s="1">
        <v>21.13</v>
      </c>
      <c r="J133" s="1">
        <v>0.88</v>
      </c>
      <c r="K133" s="1">
        <v>15.74</v>
      </c>
      <c r="L133" s="1">
        <v>15.0</v>
      </c>
      <c r="M133" s="1">
        <v>3.62</v>
      </c>
      <c r="N133" s="1" t="s">
        <v>19</v>
      </c>
    </row>
    <row r="134">
      <c r="A134" s="23" t="s">
        <v>61</v>
      </c>
      <c r="B134" s="1" t="s">
        <v>74</v>
      </c>
      <c r="C134" s="1">
        <v>2015.0</v>
      </c>
      <c r="D134" s="1">
        <v>2.08</v>
      </c>
      <c r="E134" s="1">
        <v>75.0</v>
      </c>
      <c r="F134" s="1">
        <v>6.6</v>
      </c>
      <c r="G134" s="1">
        <v>6.2</v>
      </c>
      <c r="H134" s="1">
        <v>0.9</v>
      </c>
      <c r="I134" s="1">
        <v>21.3443798146</v>
      </c>
      <c r="J134" s="1">
        <v>0.94</v>
      </c>
      <c r="K134" s="1">
        <v>17.4</v>
      </c>
      <c r="L134" s="1">
        <v>16.0</v>
      </c>
      <c r="M134" s="1">
        <v>2.67</v>
      </c>
      <c r="N134" s="1" t="s">
        <v>19</v>
      </c>
    </row>
    <row r="135">
      <c r="A135" s="23" t="s">
        <v>61</v>
      </c>
      <c r="B135" s="1" t="s">
        <v>74</v>
      </c>
      <c r="C135" s="1">
        <v>2016.0</v>
      </c>
      <c r="D135" s="1">
        <v>4.5</v>
      </c>
      <c r="E135" s="1">
        <v>74.0</v>
      </c>
      <c r="F135" s="1">
        <v>7.1</v>
      </c>
      <c r="G135" s="1">
        <v>5.5</v>
      </c>
      <c r="H135" s="1">
        <v>0.9</v>
      </c>
      <c r="I135" s="1">
        <v>21.4604299029</v>
      </c>
      <c r="J135" s="1">
        <v>0.91</v>
      </c>
      <c r="K135" s="1">
        <v>14.98</v>
      </c>
      <c r="L135" s="1">
        <v>17.0</v>
      </c>
      <c r="M135" s="1">
        <v>2.08</v>
      </c>
      <c r="N135" s="1" t="s">
        <v>19</v>
      </c>
    </row>
    <row r="136">
      <c r="A136" s="23" t="s">
        <v>61</v>
      </c>
      <c r="B136" s="1" t="s">
        <v>74</v>
      </c>
      <c r="C136" s="1">
        <v>2017.0</v>
      </c>
      <c r="D136" s="1">
        <v>1.79</v>
      </c>
      <c r="E136" s="1">
        <v>72.0</v>
      </c>
      <c r="F136" s="1">
        <v>6.6</v>
      </c>
      <c r="G136" s="1">
        <v>5.7</v>
      </c>
      <c r="H136" s="1">
        <v>0.9</v>
      </c>
      <c r="I136" s="1">
        <v>21.6152638763</v>
      </c>
      <c r="J136" s="1">
        <v>1.08</v>
      </c>
      <c r="K136" s="1">
        <v>18.35</v>
      </c>
      <c r="L136" s="1">
        <v>18.0</v>
      </c>
      <c r="M136" s="1">
        <v>4.5</v>
      </c>
      <c r="N136" s="1" t="s">
        <v>19</v>
      </c>
    </row>
    <row r="137">
      <c r="A137" s="23" t="s">
        <v>61</v>
      </c>
      <c r="B137" s="1" t="s">
        <v>74</v>
      </c>
      <c r="C137" s="1">
        <v>2018.0</v>
      </c>
      <c r="D137" s="1">
        <v>5.39</v>
      </c>
      <c r="E137" s="1">
        <v>74.0</v>
      </c>
      <c r="F137" s="1">
        <v>7.3</v>
      </c>
      <c r="G137" s="1">
        <v>5.5</v>
      </c>
      <c r="H137" s="1">
        <v>0.8</v>
      </c>
      <c r="I137" s="1">
        <v>21.8769974248</v>
      </c>
      <c r="J137" s="1">
        <v>0.47</v>
      </c>
      <c r="K137" s="1">
        <v>13.85</v>
      </c>
      <c r="L137" s="1">
        <v>19.0</v>
      </c>
      <c r="M137" s="1">
        <v>1.79</v>
      </c>
      <c r="N137" s="1" t="s">
        <v>19</v>
      </c>
    </row>
    <row r="138">
      <c r="A138" s="23" t="s">
        <v>61</v>
      </c>
      <c r="B138" s="1" t="s">
        <v>74</v>
      </c>
      <c r="C138" s="1">
        <v>2019.0</v>
      </c>
      <c r="D138" s="1">
        <v>5.39</v>
      </c>
      <c r="E138" s="1">
        <v>74.0</v>
      </c>
      <c r="F138" s="1">
        <v>7.9</v>
      </c>
      <c r="G138" s="1">
        <v>5.6</v>
      </c>
      <c r="H138" s="1">
        <v>0.8</v>
      </c>
      <c r="I138" s="1">
        <v>21.8318284565</v>
      </c>
      <c r="J138" s="1">
        <v>0.56</v>
      </c>
      <c r="K138" s="1">
        <v>9.03</v>
      </c>
      <c r="L138" s="1">
        <v>20.0</v>
      </c>
      <c r="M138" s="1">
        <v>5.39</v>
      </c>
      <c r="N138" s="1" t="s">
        <v>19</v>
      </c>
    </row>
    <row r="139">
      <c r="A139" s="23" t="s">
        <v>61</v>
      </c>
      <c r="B139" s="1" t="s">
        <v>74</v>
      </c>
      <c r="C139" s="1">
        <v>2020.0</v>
      </c>
      <c r="D139" s="1">
        <v>4.6</v>
      </c>
      <c r="E139" s="1">
        <v>74.0</v>
      </c>
      <c r="F139" s="1">
        <v>3.4</v>
      </c>
      <c r="G139" s="1">
        <v>5.7</v>
      </c>
      <c r="H139" s="1">
        <v>0.8</v>
      </c>
      <c r="I139" s="1">
        <v>21.8769974248</v>
      </c>
      <c r="J139" s="1">
        <v>0.37</v>
      </c>
      <c r="K139" s="1">
        <v>5.83</v>
      </c>
      <c r="L139" s="1">
        <v>21.0</v>
      </c>
      <c r="M139" s="1">
        <v>5.39</v>
      </c>
      <c r="N139" s="1" t="s">
        <v>19</v>
      </c>
    </row>
    <row r="140">
      <c r="A140" s="23" t="s">
        <v>61</v>
      </c>
      <c r="B140" s="1" t="s">
        <v>74</v>
      </c>
      <c r="C140" s="1">
        <v>2021.0</v>
      </c>
      <c r="D140" s="1">
        <v>5.8</v>
      </c>
      <c r="E140" s="1">
        <v>74.0</v>
      </c>
      <c r="F140" s="1">
        <v>6.9</v>
      </c>
      <c r="G140" s="1">
        <v>5.5</v>
      </c>
      <c r="H140" s="1">
        <v>0.8</v>
      </c>
      <c r="I140" s="1">
        <v>22.0069736093</v>
      </c>
      <c r="J140" s="1">
        <v>1.03</v>
      </c>
      <c r="K140" s="1">
        <v>16.22</v>
      </c>
      <c r="L140" s="1">
        <v>22.0</v>
      </c>
      <c r="M140" s="1">
        <v>4.6</v>
      </c>
      <c r="N140" s="1" t="s">
        <v>19</v>
      </c>
    </row>
    <row r="141">
      <c r="A141" s="23" t="s">
        <v>61</v>
      </c>
      <c r="B141" s="1" t="s">
        <v>74</v>
      </c>
      <c r="C141" s="1">
        <v>2022.0</v>
      </c>
      <c r="D141" s="1">
        <v>5.77</v>
      </c>
      <c r="E141" s="1">
        <v>75.0</v>
      </c>
      <c r="F141" s="1">
        <v>7.1</v>
      </c>
      <c r="G141" s="1">
        <v>7.7</v>
      </c>
      <c r="H141" s="1">
        <v>1.0</v>
      </c>
      <c r="I141" s="1">
        <v>21.9381785813</v>
      </c>
      <c r="J141" s="1">
        <v>0.72</v>
      </c>
      <c r="K141" s="1">
        <v>11.56</v>
      </c>
      <c r="L141" s="1">
        <v>23.0</v>
      </c>
      <c r="M141" s="1">
        <v>5.8</v>
      </c>
      <c r="N141" s="1" t="s">
        <v>19</v>
      </c>
    </row>
    <row r="142">
      <c r="A142" s="23" t="s">
        <v>61</v>
      </c>
      <c r="B142" s="1" t="s">
        <v>74</v>
      </c>
      <c r="C142" s="1">
        <v>2023.0</v>
      </c>
      <c r="D142" s="1">
        <v>6.54</v>
      </c>
      <c r="E142" s="1">
        <v>76.0</v>
      </c>
      <c r="F142" s="1">
        <v>5.8</v>
      </c>
      <c r="G142" s="1">
        <v>9.9</v>
      </c>
      <c r="H142" s="1">
        <v>1.2</v>
      </c>
      <c r="I142" s="1">
        <v>21.9352068109</v>
      </c>
      <c r="J142" s="1">
        <v>0.79</v>
      </c>
      <c r="K142" s="1">
        <v>12.59</v>
      </c>
      <c r="L142" s="1">
        <v>24.0</v>
      </c>
      <c r="M142" s="1">
        <v>5.77</v>
      </c>
      <c r="N142" s="1" t="s">
        <v>19</v>
      </c>
    </row>
    <row r="143">
      <c r="A143" s="23" t="s">
        <v>61</v>
      </c>
      <c r="B143" s="1" t="s">
        <v>74</v>
      </c>
      <c r="C143" s="1">
        <v>2024.0</v>
      </c>
      <c r="D143" s="1">
        <v>5.25</v>
      </c>
      <c r="E143" s="1">
        <v>77.0</v>
      </c>
      <c r="F143" s="1">
        <v>4.2</v>
      </c>
      <c r="G143" s="1">
        <v>10.5</v>
      </c>
      <c r="H143" s="1">
        <v>1.2</v>
      </c>
      <c r="I143" s="30">
        <v>22.055631856</v>
      </c>
      <c r="J143" s="1">
        <v>0.76</v>
      </c>
      <c r="K143" s="1">
        <v>12.79</v>
      </c>
      <c r="L143" s="1">
        <v>25.0</v>
      </c>
      <c r="M143" s="1">
        <v>6.54</v>
      </c>
      <c r="N143" s="1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9" max="9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75</v>
      </c>
      <c r="B2" s="1" t="s">
        <v>76</v>
      </c>
      <c r="C2" s="1">
        <v>2014.0</v>
      </c>
      <c r="D2" s="1">
        <v>2.55</v>
      </c>
      <c r="E2" s="2">
        <f>100-29</f>
        <v>71</v>
      </c>
      <c r="F2" s="1">
        <v>6.0</v>
      </c>
      <c r="G2" s="1">
        <v>9.0</v>
      </c>
      <c r="H2" s="1">
        <v>0.3</v>
      </c>
      <c r="I2" s="1">
        <v>24.93</v>
      </c>
      <c r="J2" s="1">
        <v>1.76</v>
      </c>
      <c r="K2" s="1">
        <v>20.32</v>
      </c>
      <c r="L2" s="1">
        <v>7.0</v>
      </c>
      <c r="M2" s="1">
        <v>2.27</v>
      </c>
      <c r="N2" s="1" t="s">
        <v>19</v>
      </c>
    </row>
    <row r="3">
      <c r="A3" s="1" t="s">
        <v>75</v>
      </c>
      <c r="B3" s="1" t="s">
        <v>76</v>
      </c>
      <c r="C3" s="1">
        <v>2015.0</v>
      </c>
      <c r="D3" s="1">
        <v>2.23</v>
      </c>
      <c r="E3" s="1">
        <f>100-27</f>
        <v>73</v>
      </c>
      <c r="F3" s="1">
        <v>4.0</v>
      </c>
      <c r="G3" s="1">
        <v>7.8</v>
      </c>
      <c r="H3" s="1">
        <v>0.5</v>
      </c>
      <c r="I3" s="1">
        <v>20.33</v>
      </c>
      <c r="J3" s="1">
        <v>1.39</v>
      </c>
      <c r="K3" s="1">
        <v>13.12</v>
      </c>
      <c r="L3" s="1">
        <f t="shared" ref="L3:L12" si="1">L2+1</f>
        <v>8</v>
      </c>
      <c r="M3" s="1">
        <v>2.55</v>
      </c>
      <c r="N3" s="1" t="s">
        <v>19</v>
      </c>
    </row>
    <row r="4">
      <c r="A4" s="1" t="s">
        <v>75</v>
      </c>
      <c r="B4" s="1" t="s">
        <v>76</v>
      </c>
      <c r="C4" s="1">
        <v>2016.0</v>
      </c>
      <c r="D4" s="1">
        <v>1.89</v>
      </c>
      <c r="E4" s="2">
        <f>100-29</f>
        <v>71</v>
      </c>
      <c r="F4" s="1">
        <v>0.4</v>
      </c>
      <c r="G4" s="1">
        <v>9.9</v>
      </c>
      <c r="H4" s="1">
        <v>0.5</v>
      </c>
      <c r="I4" s="1">
        <v>20.52</v>
      </c>
      <c r="J4" s="1">
        <v>1.58</v>
      </c>
      <c r="K4" s="1">
        <v>15.88</v>
      </c>
      <c r="L4" s="1">
        <f t="shared" si="1"/>
        <v>9</v>
      </c>
      <c r="M4" s="2">
        <f t="shared" ref="M4:M12" si="2">D3</f>
        <v>2.23</v>
      </c>
      <c r="N4" s="1" t="s">
        <v>19</v>
      </c>
    </row>
    <row r="5">
      <c r="A5" s="1" t="s">
        <v>75</v>
      </c>
      <c r="B5" s="1" t="s">
        <v>76</v>
      </c>
      <c r="C5" s="1">
        <v>2017.0</v>
      </c>
      <c r="D5" s="1">
        <v>1.6</v>
      </c>
      <c r="E5" s="2">
        <f t="shared" ref="E5:E6" si="3">100-31</f>
        <v>69</v>
      </c>
      <c r="F5" s="1">
        <v>9.0</v>
      </c>
      <c r="G5" s="1">
        <v>4.5</v>
      </c>
      <c r="H5" s="1">
        <v>0.2</v>
      </c>
      <c r="I5" s="1">
        <v>25.48</v>
      </c>
      <c r="J5" s="1">
        <v>1.96</v>
      </c>
      <c r="K5" s="1">
        <v>20.0</v>
      </c>
      <c r="L5" s="1">
        <f t="shared" si="1"/>
        <v>10</v>
      </c>
      <c r="M5" s="2">
        <f t="shared" si="2"/>
        <v>1.89</v>
      </c>
      <c r="N5" s="1" t="s">
        <v>19</v>
      </c>
    </row>
    <row r="6">
      <c r="A6" s="1" t="s">
        <v>75</v>
      </c>
      <c r="B6" s="1" t="s">
        <v>76</v>
      </c>
      <c r="C6" s="1">
        <v>2018.0</v>
      </c>
      <c r="D6" s="1">
        <v>0.77</v>
      </c>
      <c r="E6" s="2">
        <f t="shared" si="3"/>
        <v>69</v>
      </c>
      <c r="F6" s="1">
        <v>7.6</v>
      </c>
      <c r="G6" s="1">
        <v>4.1</v>
      </c>
      <c r="H6" s="1">
        <v>0.2</v>
      </c>
      <c r="I6" s="1">
        <v>20.23</v>
      </c>
      <c r="J6" s="1">
        <v>1.67</v>
      </c>
      <c r="K6" s="1">
        <v>15.48</v>
      </c>
      <c r="L6" s="1">
        <f t="shared" si="1"/>
        <v>11</v>
      </c>
      <c r="M6" s="2">
        <f t="shared" si="2"/>
        <v>1.6</v>
      </c>
      <c r="N6" s="1" t="s">
        <v>19</v>
      </c>
    </row>
    <row r="7">
      <c r="A7" s="1" t="s">
        <v>75</v>
      </c>
      <c r="B7" s="1" t="s">
        <v>76</v>
      </c>
      <c r="C7" s="1">
        <v>2019.0</v>
      </c>
      <c r="D7" s="1">
        <v>1.53</v>
      </c>
      <c r="E7" s="2">
        <f>100-34</f>
        <v>66</v>
      </c>
      <c r="F7" s="1">
        <v>6.7</v>
      </c>
      <c r="G7" s="1">
        <v>4.6</v>
      </c>
      <c r="H7" s="1">
        <v>1.2</v>
      </c>
      <c r="I7" s="1">
        <v>21.07</v>
      </c>
      <c r="J7" s="1">
        <v>1.8</v>
      </c>
      <c r="K7" s="1">
        <v>17.73</v>
      </c>
      <c r="L7" s="1">
        <f t="shared" si="1"/>
        <v>12</v>
      </c>
      <c r="M7" s="2">
        <f t="shared" si="2"/>
        <v>0.77</v>
      </c>
      <c r="N7" s="1" t="s">
        <v>19</v>
      </c>
    </row>
    <row r="8">
      <c r="A8" s="1" t="s">
        <v>75</v>
      </c>
      <c r="B8" s="1" t="s">
        <v>76</v>
      </c>
      <c r="C8" s="1">
        <v>2020.0</v>
      </c>
      <c r="D8" s="1">
        <v>2.23</v>
      </c>
      <c r="E8" s="2">
        <f t="shared" ref="E8:E9" si="4">100-33</f>
        <v>67</v>
      </c>
      <c r="F8" s="1">
        <v>-2.4</v>
      </c>
      <c r="G8" s="1">
        <v>6.1</v>
      </c>
      <c r="H8" s="1">
        <v>1.9</v>
      </c>
      <c r="I8" s="1">
        <v>20.77</v>
      </c>
      <c r="J8" s="1">
        <v>1.78</v>
      </c>
      <c r="K8" s="1">
        <v>17.43</v>
      </c>
      <c r="L8" s="1">
        <f t="shared" si="1"/>
        <v>13</v>
      </c>
      <c r="M8" s="2">
        <f t="shared" si="2"/>
        <v>1.53</v>
      </c>
      <c r="N8" s="1" t="s">
        <v>19</v>
      </c>
    </row>
    <row r="9">
      <c r="A9" s="1" t="s">
        <v>75</v>
      </c>
      <c r="B9" s="1" t="s">
        <v>76</v>
      </c>
      <c r="C9" s="1">
        <v>2021.0</v>
      </c>
      <c r="D9" s="1">
        <v>0.55</v>
      </c>
      <c r="E9" s="1">
        <f t="shared" si="4"/>
        <v>67</v>
      </c>
      <c r="F9" s="1">
        <v>4.8</v>
      </c>
      <c r="G9" s="1">
        <v>3.6</v>
      </c>
      <c r="H9" s="1">
        <v>1.7</v>
      </c>
      <c r="I9" s="1">
        <v>22.49</v>
      </c>
      <c r="J9" s="1">
        <v>1.21</v>
      </c>
      <c r="K9" s="1">
        <v>13.53</v>
      </c>
      <c r="L9" s="1">
        <f t="shared" si="1"/>
        <v>14</v>
      </c>
      <c r="M9" s="2">
        <f t="shared" si="2"/>
        <v>2.23</v>
      </c>
      <c r="N9" s="1" t="s">
        <v>19</v>
      </c>
    </row>
    <row r="10">
      <c r="A10" s="1" t="s">
        <v>75</v>
      </c>
      <c r="B10" s="1" t="s">
        <v>76</v>
      </c>
      <c r="C10" s="1">
        <v>2022.0</v>
      </c>
      <c r="D10" s="1">
        <v>1.28</v>
      </c>
      <c r="E10" s="2">
        <f>100-34</f>
        <v>66</v>
      </c>
      <c r="F10" s="1">
        <v>5.6</v>
      </c>
      <c r="G10" s="1">
        <v>6.4</v>
      </c>
      <c r="H10" s="1">
        <v>0.8</v>
      </c>
      <c r="I10" s="1">
        <v>22.66</v>
      </c>
      <c r="J10" s="1">
        <v>1.4</v>
      </c>
      <c r="K10" s="1">
        <v>13.93</v>
      </c>
      <c r="L10" s="1">
        <f t="shared" si="1"/>
        <v>15</v>
      </c>
      <c r="M10" s="2">
        <f t="shared" si="2"/>
        <v>0.55</v>
      </c>
      <c r="N10" s="1" t="s">
        <v>19</v>
      </c>
    </row>
    <row r="11">
      <c r="A11" s="1" t="s">
        <v>75</v>
      </c>
      <c r="B11" s="1" t="s">
        <v>76</v>
      </c>
      <c r="C11" s="1">
        <v>2023.0</v>
      </c>
      <c r="D11" s="1">
        <v>3.15</v>
      </c>
      <c r="E11" s="1">
        <f>100-35</f>
        <v>65</v>
      </c>
      <c r="F11" s="1">
        <v>2.0</v>
      </c>
      <c r="G11" s="1">
        <v>7.7</v>
      </c>
      <c r="H11" s="1">
        <v>-0.1</v>
      </c>
      <c r="I11" s="1">
        <v>22.18</v>
      </c>
      <c r="J11" s="1">
        <v>1.3</v>
      </c>
      <c r="K11" s="1">
        <v>14.19</v>
      </c>
      <c r="L11" s="1">
        <f t="shared" si="1"/>
        <v>16</v>
      </c>
      <c r="M11" s="2">
        <f t="shared" si="2"/>
        <v>1.28</v>
      </c>
      <c r="N11" s="1" t="s">
        <v>19</v>
      </c>
    </row>
    <row r="12">
      <c r="A12" s="1" t="s">
        <v>75</v>
      </c>
      <c r="B12" s="1" t="s">
        <v>76</v>
      </c>
      <c r="C12" s="1">
        <v>2024.0</v>
      </c>
      <c r="D12" s="1">
        <v>4.17</v>
      </c>
      <c r="E12" s="2">
        <f>100-34</f>
        <v>66</v>
      </c>
      <c r="F12" s="1">
        <v>3.7</v>
      </c>
      <c r="G12" s="1">
        <v>5.4</v>
      </c>
      <c r="H12" s="1">
        <v>-0.1</v>
      </c>
      <c r="I12" s="1">
        <v>22.94</v>
      </c>
      <c r="J12" s="1">
        <v>1.08</v>
      </c>
      <c r="K12" s="1">
        <v>10.19</v>
      </c>
      <c r="L12" s="1">
        <f t="shared" si="1"/>
        <v>17</v>
      </c>
      <c r="M12" s="2">
        <f t="shared" si="2"/>
        <v>3.15</v>
      </c>
      <c r="N12" s="1" t="s">
        <v>19</v>
      </c>
    </row>
    <row r="13">
      <c r="A13" s="1" t="s">
        <v>75</v>
      </c>
      <c r="B13" s="1" t="s">
        <v>77</v>
      </c>
      <c r="C13" s="1">
        <v>2014.0</v>
      </c>
      <c r="D13" s="1">
        <v>1.44</v>
      </c>
      <c r="E13" s="2">
        <f>100-29</f>
        <v>71</v>
      </c>
      <c r="F13" s="1">
        <v>6.0</v>
      </c>
      <c r="G13" s="1">
        <v>9.0</v>
      </c>
      <c r="H13" s="1">
        <v>0.3</v>
      </c>
      <c r="I13" s="31">
        <v>6.85</v>
      </c>
      <c r="J13" s="31">
        <v>2.21</v>
      </c>
      <c r="K13" s="1">
        <v>24.51</v>
      </c>
      <c r="L13" s="1">
        <v>30.0</v>
      </c>
      <c r="M13" s="1">
        <v>1.38</v>
      </c>
      <c r="N13" s="1" t="s">
        <v>19</v>
      </c>
    </row>
    <row r="14">
      <c r="A14" s="1" t="s">
        <v>75</v>
      </c>
      <c r="B14" s="1" t="s">
        <v>77</v>
      </c>
      <c r="C14" s="1">
        <v>2015.0</v>
      </c>
      <c r="D14" s="1">
        <v>1.45</v>
      </c>
      <c r="E14" s="1">
        <f>100-27</f>
        <v>73</v>
      </c>
      <c r="F14" s="1">
        <v>4.0</v>
      </c>
      <c r="G14" s="1">
        <v>7.8</v>
      </c>
      <c r="H14" s="1">
        <v>0.5</v>
      </c>
      <c r="I14" s="31">
        <v>6.93</v>
      </c>
      <c r="J14" s="31">
        <v>2.01</v>
      </c>
      <c r="K14" s="1">
        <v>22.03</v>
      </c>
      <c r="L14" s="1">
        <f t="shared" ref="L14:L23" si="5">L13+1</f>
        <v>31</v>
      </c>
      <c r="M14" s="2">
        <f t="shared" ref="M14:M23" si="6">D13</f>
        <v>1.44</v>
      </c>
      <c r="N14" s="1" t="s">
        <v>19</v>
      </c>
    </row>
    <row r="15">
      <c r="A15" s="1" t="s">
        <v>75</v>
      </c>
      <c r="B15" s="1" t="s">
        <v>77</v>
      </c>
      <c r="C15" s="1">
        <v>2016.0</v>
      </c>
      <c r="D15" s="1">
        <v>1.48</v>
      </c>
      <c r="E15" s="2">
        <f>100-29</f>
        <v>71</v>
      </c>
      <c r="F15" s="1">
        <v>0.4</v>
      </c>
      <c r="G15" s="1">
        <v>9.9</v>
      </c>
      <c r="H15" s="1">
        <v>0.5</v>
      </c>
      <c r="I15" s="31">
        <v>7.03</v>
      </c>
      <c r="J15" s="31">
        <v>1.81</v>
      </c>
      <c r="K15" s="1">
        <v>19.92</v>
      </c>
      <c r="L15" s="1">
        <f t="shared" si="5"/>
        <v>32</v>
      </c>
      <c r="M15" s="2">
        <f t="shared" si="6"/>
        <v>1.45</v>
      </c>
      <c r="N15" s="1" t="s">
        <v>19</v>
      </c>
    </row>
    <row r="16">
      <c r="A16" s="1" t="s">
        <v>75</v>
      </c>
      <c r="B16" s="1" t="s">
        <v>77</v>
      </c>
      <c r="C16" s="1">
        <v>2017.0</v>
      </c>
      <c r="D16" s="1">
        <v>1.56</v>
      </c>
      <c r="E16" s="2">
        <f t="shared" ref="E16:E17" si="7">100-31</f>
        <v>69</v>
      </c>
      <c r="F16" s="1">
        <v>9.0</v>
      </c>
      <c r="G16" s="1">
        <v>4.5</v>
      </c>
      <c r="H16" s="1">
        <v>0.2</v>
      </c>
      <c r="I16" s="31">
        <v>7.23</v>
      </c>
      <c r="J16" s="31">
        <v>1.68</v>
      </c>
      <c r="K16" s="1">
        <v>18.11</v>
      </c>
      <c r="L16" s="1">
        <f t="shared" si="5"/>
        <v>33</v>
      </c>
      <c r="M16" s="2">
        <f t="shared" si="6"/>
        <v>1.48</v>
      </c>
      <c r="N16" s="1" t="s">
        <v>19</v>
      </c>
    </row>
    <row r="17">
      <c r="A17" s="1" t="s">
        <v>75</v>
      </c>
      <c r="B17" s="1" t="s">
        <v>77</v>
      </c>
      <c r="C17" s="1">
        <v>2018.0</v>
      </c>
      <c r="D17" s="1">
        <v>1.72</v>
      </c>
      <c r="E17" s="2">
        <f t="shared" si="7"/>
        <v>69</v>
      </c>
      <c r="F17" s="1">
        <v>7.6</v>
      </c>
      <c r="G17" s="1">
        <v>4.1</v>
      </c>
      <c r="H17" s="1">
        <v>0.2</v>
      </c>
      <c r="I17" s="31">
        <v>7.36</v>
      </c>
      <c r="J17" s="31">
        <v>1.62</v>
      </c>
      <c r="K17" s="1">
        <v>16.89</v>
      </c>
      <c r="L17" s="1">
        <f t="shared" si="5"/>
        <v>34</v>
      </c>
      <c r="M17" s="2">
        <f t="shared" si="6"/>
        <v>1.56</v>
      </c>
      <c r="N17" s="1" t="s">
        <v>19</v>
      </c>
    </row>
    <row r="18">
      <c r="A18" s="1" t="s">
        <v>75</v>
      </c>
      <c r="B18" s="1" t="s">
        <v>77</v>
      </c>
      <c r="C18" s="1">
        <v>2019.0</v>
      </c>
      <c r="D18" s="1">
        <v>1.65</v>
      </c>
      <c r="E18" s="2">
        <f>100-34</f>
        <v>66</v>
      </c>
      <c r="F18" s="1">
        <v>6.7</v>
      </c>
      <c r="G18" s="1">
        <v>4.6</v>
      </c>
      <c r="H18" s="1">
        <v>1.2</v>
      </c>
      <c r="I18" s="31">
        <v>7.43</v>
      </c>
      <c r="J18" s="31">
        <v>1.55</v>
      </c>
      <c r="K18" s="1">
        <v>16.23</v>
      </c>
      <c r="L18" s="1">
        <f t="shared" si="5"/>
        <v>35</v>
      </c>
      <c r="M18" s="2">
        <f t="shared" si="6"/>
        <v>1.72</v>
      </c>
      <c r="N18" s="1" t="s">
        <v>19</v>
      </c>
    </row>
    <row r="19">
      <c r="A19" s="1" t="s">
        <v>75</v>
      </c>
      <c r="B19" s="1" t="s">
        <v>77</v>
      </c>
      <c r="C19" s="1">
        <v>2020.0</v>
      </c>
      <c r="D19" s="1">
        <v>1.81</v>
      </c>
      <c r="E19" s="2">
        <f t="shared" ref="E19:E20" si="8">100-33</f>
        <v>67</v>
      </c>
      <c r="F19" s="1">
        <v>-2.4</v>
      </c>
      <c r="G19" s="1">
        <v>6.1</v>
      </c>
      <c r="H19" s="1">
        <v>1.9</v>
      </c>
      <c r="I19" s="31">
        <v>7.51</v>
      </c>
      <c r="J19" s="31">
        <v>1.18</v>
      </c>
      <c r="K19" s="1">
        <v>12.51</v>
      </c>
      <c r="L19" s="1">
        <f t="shared" si="5"/>
        <v>36</v>
      </c>
      <c r="M19" s="2">
        <f t="shared" si="6"/>
        <v>1.65</v>
      </c>
      <c r="N19" s="1" t="s">
        <v>19</v>
      </c>
    </row>
    <row r="20">
      <c r="A20" s="1" t="s">
        <v>75</v>
      </c>
      <c r="B20" s="1" t="s">
        <v>77</v>
      </c>
      <c r="C20" s="1">
        <v>2021.0</v>
      </c>
      <c r="D20" s="1">
        <v>2.27</v>
      </c>
      <c r="E20" s="1">
        <f t="shared" si="8"/>
        <v>67</v>
      </c>
      <c r="F20" s="1">
        <v>4.8</v>
      </c>
      <c r="G20" s="1">
        <v>3.6</v>
      </c>
      <c r="H20" s="1">
        <v>1.7</v>
      </c>
      <c r="I20" s="31">
        <v>7.68</v>
      </c>
      <c r="J20" s="31">
        <v>1.32</v>
      </c>
      <c r="K20" s="1">
        <v>14.21</v>
      </c>
      <c r="L20" s="1">
        <f t="shared" si="5"/>
        <v>37</v>
      </c>
      <c r="M20" s="2">
        <f t="shared" si="6"/>
        <v>1.81</v>
      </c>
      <c r="N20" s="1" t="s">
        <v>19</v>
      </c>
    </row>
    <row r="21">
      <c r="A21" s="1" t="s">
        <v>75</v>
      </c>
      <c r="B21" s="1" t="s">
        <v>77</v>
      </c>
      <c r="C21" s="1">
        <v>2022.0</v>
      </c>
      <c r="D21" s="1">
        <v>1.41</v>
      </c>
      <c r="E21" s="2">
        <f>100-34</f>
        <v>66</v>
      </c>
      <c r="F21" s="1">
        <v>5.6</v>
      </c>
      <c r="G21" s="1">
        <v>6.4</v>
      </c>
      <c r="H21" s="1">
        <v>0.8</v>
      </c>
      <c r="I21" s="31">
        <v>7.78</v>
      </c>
      <c r="J21" s="31">
        <v>1.41</v>
      </c>
      <c r="K21" s="1">
        <v>15.01</v>
      </c>
      <c r="L21" s="1">
        <f t="shared" si="5"/>
        <v>38</v>
      </c>
      <c r="M21" s="2">
        <f t="shared" si="6"/>
        <v>2.27</v>
      </c>
      <c r="N21" s="1" t="s">
        <v>19</v>
      </c>
    </row>
    <row r="22">
      <c r="A22" s="1" t="s">
        <v>75</v>
      </c>
      <c r="B22" s="1" t="s">
        <v>77</v>
      </c>
      <c r="C22" s="1">
        <v>2023.0</v>
      </c>
      <c r="D22" s="1">
        <v>1.58</v>
      </c>
      <c r="E22" s="1">
        <f>100-35</f>
        <v>65</v>
      </c>
      <c r="F22" s="1">
        <v>2.0</v>
      </c>
      <c r="G22" s="1">
        <v>7.7</v>
      </c>
      <c r="H22" s="1">
        <v>-0.1</v>
      </c>
      <c r="I22" s="31">
        <v>8.17</v>
      </c>
      <c r="J22" s="31">
        <v>1.22</v>
      </c>
      <c r="K22" s="1">
        <v>12.85</v>
      </c>
      <c r="L22" s="1">
        <f t="shared" si="5"/>
        <v>39</v>
      </c>
      <c r="M22" s="2">
        <f t="shared" si="6"/>
        <v>1.41</v>
      </c>
      <c r="N22" s="1" t="s">
        <v>19</v>
      </c>
    </row>
    <row r="23">
      <c r="A23" s="1" t="s">
        <v>75</v>
      </c>
      <c r="B23" s="1" t="s">
        <v>77</v>
      </c>
      <c r="C23" s="1">
        <v>2024.0</v>
      </c>
      <c r="D23" s="1">
        <v>1.52</v>
      </c>
      <c r="E23" s="2">
        <f>100-34</f>
        <v>66</v>
      </c>
      <c r="F23" s="1">
        <v>3.7</v>
      </c>
      <c r="G23" s="1">
        <v>5.4</v>
      </c>
      <c r="H23" s="1">
        <v>-0.1</v>
      </c>
      <c r="I23" s="31">
        <v>8.26</v>
      </c>
      <c r="J23" s="31">
        <v>1.05</v>
      </c>
      <c r="K23" s="1">
        <v>10.91</v>
      </c>
      <c r="L23" s="1">
        <f t="shared" si="5"/>
        <v>40</v>
      </c>
      <c r="M23" s="2">
        <f t="shared" si="6"/>
        <v>1.58</v>
      </c>
      <c r="N23" s="1" t="s">
        <v>19</v>
      </c>
    </row>
    <row r="24">
      <c r="A24" s="1" t="s">
        <v>75</v>
      </c>
      <c r="B24" s="1" t="s">
        <v>78</v>
      </c>
      <c r="C24" s="1">
        <v>2014.0</v>
      </c>
      <c r="D24" s="32">
        <v>18.99</v>
      </c>
      <c r="E24" s="2">
        <f>100-29</f>
        <v>71</v>
      </c>
      <c r="F24" s="1">
        <v>6.0</v>
      </c>
      <c r="G24" s="1">
        <v>9.0</v>
      </c>
      <c r="H24" s="1">
        <v>0.3</v>
      </c>
      <c r="I24" s="32">
        <v>7.19</v>
      </c>
      <c r="J24" s="32">
        <v>0.68</v>
      </c>
      <c r="K24" s="32">
        <v>7.37</v>
      </c>
      <c r="L24" s="1">
        <v>51.0</v>
      </c>
      <c r="M24" s="1">
        <v>19.57</v>
      </c>
      <c r="N24" s="1" t="s">
        <v>17</v>
      </c>
    </row>
    <row r="25">
      <c r="A25" s="1" t="s">
        <v>75</v>
      </c>
      <c r="B25" s="1" t="s">
        <v>78</v>
      </c>
      <c r="C25" s="1">
        <v>2015.0</v>
      </c>
      <c r="D25" s="32">
        <v>15.1</v>
      </c>
      <c r="E25" s="1">
        <f>100-27</f>
        <v>73</v>
      </c>
      <c r="F25" s="1">
        <v>4.0</v>
      </c>
      <c r="G25" s="1">
        <v>7.8</v>
      </c>
      <c r="H25" s="1">
        <v>0.5</v>
      </c>
      <c r="I25" s="32">
        <v>7.27</v>
      </c>
      <c r="J25" s="32">
        <v>0.85</v>
      </c>
      <c r="K25" s="32">
        <v>9.56</v>
      </c>
      <c r="L25" s="2">
        <f t="shared" ref="L25:L34" si="9">L24+1</f>
        <v>52</v>
      </c>
      <c r="M25" s="32">
        <v>18.99</v>
      </c>
      <c r="N25" s="1" t="s">
        <v>17</v>
      </c>
    </row>
    <row r="26">
      <c r="A26" s="1" t="s">
        <v>75</v>
      </c>
      <c r="B26" s="1" t="s">
        <v>78</v>
      </c>
      <c r="C26" s="1">
        <v>2016.0</v>
      </c>
      <c r="D26" s="32">
        <v>9.81</v>
      </c>
      <c r="E26" s="2">
        <f>100-29</f>
        <v>71</v>
      </c>
      <c r="F26" s="1">
        <v>0.4</v>
      </c>
      <c r="G26" s="1">
        <v>9.9</v>
      </c>
      <c r="H26" s="1">
        <v>0.5</v>
      </c>
      <c r="I26" s="32">
        <v>7.36</v>
      </c>
      <c r="J26" s="32">
        <v>1.11</v>
      </c>
      <c r="K26" s="32">
        <v>12.79</v>
      </c>
      <c r="L26" s="2">
        <f t="shared" si="9"/>
        <v>53</v>
      </c>
      <c r="M26" s="32">
        <v>15.1</v>
      </c>
      <c r="N26" s="1" t="s">
        <v>17</v>
      </c>
    </row>
    <row r="27">
      <c r="A27" s="1" t="s">
        <v>75</v>
      </c>
      <c r="B27" s="1" t="s">
        <v>78</v>
      </c>
      <c r="C27" s="1">
        <v>2017.0</v>
      </c>
      <c r="D27" s="32">
        <v>6.2</v>
      </c>
      <c r="E27" s="2">
        <f t="shared" ref="E27:E28" si="10">100-31</f>
        <v>69</v>
      </c>
      <c r="F27" s="1">
        <v>9.0</v>
      </c>
      <c r="G27" s="1">
        <v>4.5</v>
      </c>
      <c r="H27" s="1">
        <v>0.2</v>
      </c>
      <c r="I27" s="32">
        <v>7.55</v>
      </c>
      <c r="J27" s="32">
        <v>1.39</v>
      </c>
      <c r="K27" s="32">
        <v>16.64</v>
      </c>
      <c r="L27" s="2">
        <f t="shared" si="9"/>
        <v>54</v>
      </c>
      <c r="M27" s="32">
        <v>9.81</v>
      </c>
      <c r="N27" s="1" t="s">
        <v>17</v>
      </c>
    </row>
    <row r="28">
      <c r="A28" s="1" t="s">
        <v>75</v>
      </c>
      <c r="B28" s="1" t="s">
        <v>78</v>
      </c>
      <c r="C28" s="1">
        <v>2018.0</v>
      </c>
      <c r="D28" s="32">
        <v>3.12</v>
      </c>
      <c r="E28" s="2">
        <f t="shared" si="10"/>
        <v>69</v>
      </c>
      <c r="F28" s="1">
        <v>7.6</v>
      </c>
      <c r="G28" s="1">
        <v>4.1</v>
      </c>
      <c r="H28" s="1">
        <v>0.2</v>
      </c>
      <c r="I28" s="32">
        <v>7.65</v>
      </c>
      <c r="J28" s="32">
        <v>1.56</v>
      </c>
      <c r="K28" s="32">
        <v>19.08</v>
      </c>
      <c r="L28" s="2">
        <f t="shared" si="9"/>
        <v>55</v>
      </c>
      <c r="M28" s="32">
        <v>6.2</v>
      </c>
      <c r="N28" s="1" t="s">
        <v>17</v>
      </c>
    </row>
    <row r="29">
      <c r="A29" s="1" t="s">
        <v>75</v>
      </c>
      <c r="B29" s="1" t="s">
        <v>78</v>
      </c>
      <c r="C29" s="1">
        <v>2019.0</v>
      </c>
      <c r="D29" s="32">
        <v>2.21</v>
      </c>
      <c r="E29" s="2">
        <f>100-34</f>
        <v>66</v>
      </c>
      <c r="F29" s="1">
        <v>6.7</v>
      </c>
      <c r="G29" s="1">
        <v>4.6</v>
      </c>
      <c r="H29" s="1">
        <v>1.2</v>
      </c>
      <c r="I29" s="32">
        <v>7.72</v>
      </c>
      <c r="J29" s="32">
        <v>1.56</v>
      </c>
      <c r="K29" s="32">
        <v>19.6</v>
      </c>
      <c r="L29" s="2">
        <f t="shared" si="9"/>
        <v>56</v>
      </c>
      <c r="M29" s="32">
        <v>3.12</v>
      </c>
      <c r="N29" s="1" t="s">
        <v>17</v>
      </c>
    </row>
    <row r="30">
      <c r="A30" s="1" t="s">
        <v>75</v>
      </c>
      <c r="B30" s="1" t="s">
        <v>78</v>
      </c>
      <c r="C30" s="1">
        <v>2020.0</v>
      </c>
      <c r="D30" s="32">
        <v>2.76</v>
      </c>
      <c r="E30" s="2">
        <f t="shared" ref="E30:E31" si="11">100-33</f>
        <v>67</v>
      </c>
      <c r="F30" s="1">
        <v>-2.4</v>
      </c>
      <c r="G30" s="1">
        <v>6.1</v>
      </c>
      <c r="H30" s="1">
        <v>1.9</v>
      </c>
      <c r="I30" s="32">
        <v>7.79</v>
      </c>
      <c r="J30" s="32">
        <v>1.16</v>
      </c>
      <c r="K30" s="32">
        <v>14.9</v>
      </c>
      <c r="L30" s="2">
        <f t="shared" si="9"/>
        <v>57</v>
      </c>
      <c r="M30" s="32">
        <v>2.21</v>
      </c>
      <c r="N30" s="1" t="s">
        <v>17</v>
      </c>
    </row>
    <row r="31">
      <c r="A31" s="1" t="s">
        <v>75</v>
      </c>
      <c r="B31" s="1" t="s">
        <v>78</v>
      </c>
      <c r="C31" s="1">
        <v>2021.0</v>
      </c>
      <c r="D31" s="32">
        <v>2.93</v>
      </c>
      <c r="E31" s="1">
        <f t="shared" si="11"/>
        <v>67</v>
      </c>
      <c r="F31" s="1">
        <v>4.8</v>
      </c>
      <c r="G31" s="1">
        <v>3.6</v>
      </c>
      <c r="H31" s="1">
        <v>1.7</v>
      </c>
      <c r="I31" s="32">
        <v>7.92</v>
      </c>
      <c r="J31" s="32">
        <v>1.23</v>
      </c>
      <c r="K31" s="32">
        <v>16.36</v>
      </c>
      <c r="L31" s="2">
        <f t="shared" si="9"/>
        <v>58</v>
      </c>
      <c r="M31" s="32">
        <v>2.76</v>
      </c>
      <c r="N31" s="1" t="s">
        <v>17</v>
      </c>
    </row>
    <row r="32">
      <c r="A32" s="1" t="s">
        <v>75</v>
      </c>
      <c r="B32" s="1" t="s">
        <v>78</v>
      </c>
      <c r="C32" s="1">
        <v>2022.0</v>
      </c>
      <c r="D32" s="32">
        <v>1.41</v>
      </c>
      <c r="E32" s="2">
        <f>100-34</f>
        <v>66</v>
      </c>
      <c r="F32" s="1">
        <v>5.6</v>
      </c>
      <c r="G32" s="1">
        <v>6.4</v>
      </c>
      <c r="H32" s="1">
        <v>0.8</v>
      </c>
      <c r="I32" s="32">
        <v>8.01</v>
      </c>
      <c r="J32" s="32">
        <v>1.37</v>
      </c>
      <c r="K32" s="32">
        <v>18.47</v>
      </c>
      <c r="L32" s="2">
        <f t="shared" si="9"/>
        <v>59</v>
      </c>
      <c r="M32" s="32">
        <v>2.93</v>
      </c>
      <c r="N32" s="1" t="s">
        <v>17</v>
      </c>
    </row>
    <row r="33">
      <c r="A33" s="1" t="s">
        <v>75</v>
      </c>
      <c r="B33" s="1" t="s">
        <v>78</v>
      </c>
      <c r="C33" s="1">
        <v>2023.0</v>
      </c>
      <c r="D33" s="32">
        <v>1.41</v>
      </c>
      <c r="E33" s="1">
        <f>100-35</f>
        <v>65</v>
      </c>
      <c r="F33" s="1">
        <v>2.0</v>
      </c>
      <c r="G33" s="1">
        <v>7.7</v>
      </c>
      <c r="H33" s="1">
        <v>-0.1</v>
      </c>
      <c r="I33" s="32">
        <v>8.11</v>
      </c>
      <c r="J33" s="32">
        <v>1.27</v>
      </c>
      <c r="K33" s="32">
        <v>17.35</v>
      </c>
      <c r="L33" s="2">
        <f t="shared" si="9"/>
        <v>60</v>
      </c>
      <c r="M33" s="32">
        <v>1.41</v>
      </c>
      <c r="N33" s="1" t="s">
        <v>17</v>
      </c>
    </row>
    <row r="34">
      <c r="A34" s="1" t="s">
        <v>75</v>
      </c>
      <c r="B34" s="1" t="s">
        <v>78</v>
      </c>
      <c r="C34" s="1">
        <v>2024.0</v>
      </c>
      <c r="D34" s="32">
        <v>1.41</v>
      </c>
      <c r="E34" s="2">
        <f>100-34</f>
        <v>66</v>
      </c>
      <c r="F34" s="1">
        <v>3.7</v>
      </c>
      <c r="G34" s="1">
        <v>5.4</v>
      </c>
      <c r="H34" s="1">
        <v>-0.1</v>
      </c>
      <c r="I34" s="32">
        <v>8.24</v>
      </c>
      <c r="J34" s="32">
        <v>1.19</v>
      </c>
      <c r="K34" s="32">
        <v>16.83</v>
      </c>
      <c r="L34" s="2">
        <f t="shared" si="9"/>
        <v>61</v>
      </c>
      <c r="M34" s="32">
        <v>1.41</v>
      </c>
      <c r="N34" s="1" t="s">
        <v>17</v>
      </c>
    </row>
    <row r="35">
      <c r="A35" s="1" t="s">
        <v>75</v>
      </c>
      <c r="B35" s="1" t="s">
        <v>79</v>
      </c>
      <c r="C35" s="1">
        <v>2014.0</v>
      </c>
      <c r="D35" s="32">
        <v>1.27</v>
      </c>
      <c r="E35" s="2">
        <f>100-29</f>
        <v>71</v>
      </c>
      <c r="F35" s="1">
        <v>6.0</v>
      </c>
      <c r="G35" s="1">
        <v>9.0</v>
      </c>
      <c r="H35" s="1">
        <v>0.3</v>
      </c>
      <c r="I35" s="32">
        <v>6.97</v>
      </c>
      <c r="J35" s="32">
        <v>2.38</v>
      </c>
      <c r="K35" s="32">
        <v>23.59</v>
      </c>
      <c r="L35" s="1">
        <v>31.0</v>
      </c>
      <c r="M35" s="33">
        <v>1.6</v>
      </c>
      <c r="N35" s="1" t="s">
        <v>19</v>
      </c>
    </row>
    <row r="36">
      <c r="A36" s="1" t="s">
        <v>75</v>
      </c>
      <c r="B36" s="1" t="s">
        <v>79</v>
      </c>
      <c r="C36" s="1">
        <v>2015.0</v>
      </c>
      <c r="D36" s="32">
        <v>0.91</v>
      </c>
      <c r="E36" s="1">
        <f>100-27</f>
        <v>73</v>
      </c>
      <c r="F36" s="1">
        <v>4.0</v>
      </c>
      <c r="G36" s="1">
        <v>7.8</v>
      </c>
      <c r="H36" s="1">
        <v>0.5</v>
      </c>
      <c r="I36" s="32">
        <v>7.04</v>
      </c>
      <c r="J36" s="32">
        <v>2.13</v>
      </c>
      <c r="K36" s="32">
        <v>21.54</v>
      </c>
      <c r="L36" s="2">
        <f t="shared" ref="L36:L45" si="12">L35+1</f>
        <v>32</v>
      </c>
      <c r="M36" s="32">
        <v>1.27</v>
      </c>
      <c r="N36" s="1" t="s">
        <v>19</v>
      </c>
    </row>
    <row r="37">
      <c r="A37" s="1" t="s">
        <v>75</v>
      </c>
      <c r="B37" s="1" t="s">
        <v>79</v>
      </c>
      <c r="C37" s="1">
        <v>2016.0</v>
      </c>
      <c r="D37" s="32">
        <v>0.66</v>
      </c>
      <c r="E37" s="2">
        <f>100-29</f>
        <v>71</v>
      </c>
      <c r="F37" s="1">
        <v>0.4</v>
      </c>
      <c r="G37" s="1">
        <v>9.9</v>
      </c>
      <c r="H37" s="1">
        <v>0.5</v>
      </c>
      <c r="I37" s="32">
        <v>7.15</v>
      </c>
      <c r="J37" s="32">
        <v>1.93</v>
      </c>
      <c r="K37" s="32">
        <v>19.81</v>
      </c>
      <c r="L37" s="2">
        <f t="shared" si="12"/>
        <v>33</v>
      </c>
      <c r="M37" s="32">
        <v>0.91</v>
      </c>
      <c r="N37" s="1" t="s">
        <v>19</v>
      </c>
    </row>
    <row r="38">
      <c r="A38" s="1" t="s">
        <v>75</v>
      </c>
      <c r="B38" s="1" t="s">
        <v>79</v>
      </c>
      <c r="C38" s="1">
        <v>2017.0</v>
      </c>
      <c r="D38" s="32">
        <v>0.52</v>
      </c>
      <c r="E38" s="2">
        <f t="shared" ref="E38:E39" si="13">100-31</f>
        <v>69</v>
      </c>
      <c r="F38" s="1">
        <v>9.0</v>
      </c>
      <c r="G38" s="1">
        <v>4.5</v>
      </c>
      <c r="H38" s="1">
        <v>0.2</v>
      </c>
      <c r="I38" s="32">
        <v>7.34</v>
      </c>
      <c r="J38" s="32">
        <v>1.73</v>
      </c>
      <c r="K38" s="32">
        <v>18.03</v>
      </c>
      <c r="L38" s="2">
        <f t="shared" si="12"/>
        <v>34</v>
      </c>
      <c r="M38" s="32">
        <v>0.66</v>
      </c>
      <c r="N38" s="1" t="s">
        <v>19</v>
      </c>
    </row>
    <row r="39">
      <c r="A39" s="1" t="s">
        <v>75</v>
      </c>
      <c r="B39" s="1" t="s">
        <v>79</v>
      </c>
      <c r="C39" s="1">
        <v>2018.0</v>
      </c>
      <c r="D39" s="32">
        <v>0.7</v>
      </c>
      <c r="E39" s="2">
        <f t="shared" si="13"/>
        <v>69</v>
      </c>
      <c r="F39" s="1">
        <v>7.6</v>
      </c>
      <c r="G39" s="1">
        <v>4.1</v>
      </c>
      <c r="H39" s="1">
        <v>0.2</v>
      </c>
      <c r="I39" s="32">
        <v>7.47</v>
      </c>
      <c r="J39" s="32">
        <v>1.58</v>
      </c>
      <c r="K39" s="32">
        <v>16.52</v>
      </c>
      <c r="L39" s="2">
        <f t="shared" si="12"/>
        <v>35</v>
      </c>
      <c r="M39" s="32">
        <v>0.52</v>
      </c>
      <c r="N39" s="1" t="s">
        <v>19</v>
      </c>
    </row>
    <row r="40">
      <c r="A40" s="1" t="s">
        <v>75</v>
      </c>
      <c r="B40" s="1" t="s">
        <v>79</v>
      </c>
      <c r="C40" s="1">
        <v>2019.0</v>
      </c>
      <c r="D40" s="32">
        <v>0.85</v>
      </c>
      <c r="E40" s="2">
        <f>100-34</f>
        <v>66</v>
      </c>
      <c r="F40" s="1">
        <v>6.7</v>
      </c>
      <c r="G40" s="1">
        <v>4.6</v>
      </c>
      <c r="H40" s="1">
        <v>1.2</v>
      </c>
      <c r="I40" s="32">
        <v>7.54</v>
      </c>
      <c r="J40" s="32">
        <v>1.53</v>
      </c>
      <c r="K40" s="32">
        <v>16.33</v>
      </c>
      <c r="L40" s="2">
        <f t="shared" si="12"/>
        <v>36</v>
      </c>
      <c r="M40" s="32">
        <v>0.7</v>
      </c>
      <c r="N40" s="1" t="s">
        <v>19</v>
      </c>
    </row>
    <row r="41">
      <c r="A41" s="1" t="s">
        <v>75</v>
      </c>
      <c r="B41" s="1" t="s">
        <v>79</v>
      </c>
      <c r="C41" s="1">
        <v>2020.0</v>
      </c>
      <c r="D41" s="32">
        <v>1.53</v>
      </c>
      <c r="E41" s="2">
        <f t="shared" ref="E41:E42" si="14">100-33</f>
        <v>67</v>
      </c>
      <c r="F41" s="1">
        <v>-2.4</v>
      </c>
      <c r="G41" s="1">
        <v>6.1</v>
      </c>
      <c r="H41" s="1">
        <v>1.9</v>
      </c>
      <c r="I41" s="32">
        <v>7.62</v>
      </c>
      <c r="J41" s="32">
        <v>1.16</v>
      </c>
      <c r="K41" s="32">
        <v>12.8</v>
      </c>
      <c r="L41" s="2">
        <f t="shared" si="12"/>
        <v>37</v>
      </c>
      <c r="M41" s="32">
        <v>0.85</v>
      </c>
      <c r="N41" s="1" t="s">
        <v>19</v>
      </c>
    </row>
    <row r="42">
      <c r="A42" s="1" t="s">
        <v>75</v>
      </c>
      <c r="B42" s="1" t="s">
        <v>79</v>
      </c>
      <c r="C42" s="1">
        <v>2021.0</v>
      </c>
      <c r="D42" s="32">
        <v>1.68</v>
      </c>
      <c r="E42" s="1">
        <f t="shared" si="14"/>
        <v>67</v>
      </c>
      <c r="F42" s="1">
        <v>4.8</v>
      </c>
      <c r="G42" s="1">
        <v>3.6</v>
      </c>
      <c r="H42" s="1">
        <v>1.7</v>
      </c>
      <c r="I42" s="32">
        <v>7.79</v>
      </c>
      <c r="J42" s="32">
        <v>1.24</v>
      </c>
      <c r="K42" s="32">
        <v>14.35</v>
      </c>
      <c r="L42" s="2">
        <f t="shared" si="12"/>
        <v>38</v>
      </c>
      <c r="M42" s="32">
        <v>1.53</v>
      </c>
      <c r="N42" s="1" t="s">
        <v>19</v>
      </c>
    </row>
    <row r="43">
      <c r="A43" s="1" t="s">
        <v>75</v>
      </c>
      <c r="B43" s="1" t="s">
        <v>79</v>
      </c>
      <c r="C43" s="1">
        <v>2022.0</v>
      </c>
      <c r="D43" s="32">
        <v>1.25</v>
      </c>
      <c r="E43" s="2">
        <f>100-34</f>
        <v>66</v>
      </c>
      <c r="F43" s="1">
        <v>5.6</v>
      </c>
      <c r="G43" s="1">
        <v>6.4</v>
      </c>
      <c r="H43" s="1">
        <v>0.8</v>
      </c>
      <c r="I43" s="32">
        <v>7.89</v>
      </c>
      <c r="J43" s="32">
        <v>1.35</v>
      </c>
      <c r="K43" s="32">
        <v>15.57</v>
      </c>
      <c r="L43" s="2">
        <f t="shared" si="12"/>
        <v>39</v>
      </c>
      <c r="M43" s="32">
        <v>1.68</v>
      </c>
      <c r="N43" s="1" t="s">
        <v>19</v>
      </c>
    </row>
    <row r="44">
      <c r="A44" s="1" t="s">
        <v>75</v>
      </c>
      <c r="B44" s="1" t="s">
        <v>79</v>
      </c>
      <c r="C44" s="1">
        <v>2023.0</v>
      </c>
      <c r="D44" s="32">
        <v>1.21</v>
      </c>
      <c r="E44" s="1">
        <f>100-35</f>
        <v>65</v>
      </c>
      <c r="F44" s="1">
        <v>2.0</v>
      </c>
      <c r="G44" s="1">
        <v>7.7</v>
      </c>
      <c r="H44" s="1">
        <v>-0.1</v>
      </c>
      <c r="I44" s="32">
        <v>8.0</v>
      </c>
      <c r="J44" s="32">
        <v>1.21</v>
      </c>
      <c r="K44" s="32">
        <v>14.13</v>
      </c>
      <c r="L44" s="2">
        <f t="shared" si="12"/>
        <v>40</v>
      </c>
      <c r="M44" s="32">
        <v>1.25</v>
      </c>
      <c r="N44" s="1" t="s">
        <v>19</v>
      </c>
    </row>
    <row r="45">
      <c r="A45" s="1" t="s">
        <v>75</v>
      </c>
      <c r="B45" s="1" t="s">
        <v>79</v>
      </c>
      <c r="C45" s="1">
        <v>2024.0</v>
      </c>
      <c r="D45" s="32">
        <v>1.43</v>
      </c>
      <c r="E45" s="2">
        <f>100-34</f>
        <v>66</v>
      </c>
      <c r="F45" s="1">
        <v>3.7</v>
      </c>
      <c r="G45" s="1">
        <v>5.4</v>
      </c>
      <c r="H45" s="1">
        <v>-0.1</v>
      </c>
      <c r="I45" s="32">
        <v>8.13</v>
      </c>
      <c r="J45" s="32">
        <v>1.04</v>
      </c>
      <c r="K45" s="32">
        <v>12.36</v>
      </c>
      <c r="L45" s="2">
        <f t="shared" si="12"/>
        <v>41</v>
      </c>
      <c r="M45" s="32">
        <v>1.21</v>
      </c>
      <c r="N45" s="1" t="s">
        <v>19</v>
      </c>
    </row>
    <row r="46">
      <c r="A46" s="1" t="s">
        <v>75</v>
      </c>
      <c r="B46" s="1" t="s">
        <v>80</v>
      </c>
      <c r="C46" s="1">
        <v>2014.0</v>
      </c>
      <c r="D46" s="32">
        <v>2.81</v>
      </c>
      <c r="E46" s="2">
        <f>100-29</f>
        <v>71</v>
      </c>
      <c r="F46" s="1">
        <v>6.0</v>
      </c>
      <c r="G46" s="1">
        <v>9.0</v>
      </c>
      <c r="H46" s="1">
        <v>0.3</v>
      </c>
      <c r="I46" s="34">
        <v>6.83</v>
      </c>
      <c r="J46" s="32">
        <v>1.68</v>
      </c>
      <c r="K46" s="32">
        <v>16.67</v>
      </c>
      <c r="L46" s="1">
        <v>24.0</v>
      </c>
      <c r="M46" s="33">
        <v>2.76</v>
      </c>
      <c r="N46" s="1" t="s">
        <v>19</v>
      </c>
    </row>
    <row r="47">
      <c r="A47" s="1" t="s">
        <v>75</v>
      </c>
      <c r="B47" s="1" t="s">
        <v>80</v>
      </c>
      <c r="C47" s="1">
        <v>2015.0</v>
      </c>
      <c r="D47" s="32">
        <v>2.39</v>
      </c>
      <c r="E47" s="1">
        <f>100-27</f>
        <v>73</v>
      </c>
      <c r="F47" s="1">
        <v>4.0</v>
      </c>
      <c r="G47" s="1">
        <v>7.8</v>
      </c>
      <c r="H47" s="1">
        <v>0.5</v>
      </c>
      <c r="I47" s="34">
        <v>6.9</v>
      </c>
      <c r="J47" s="32">
        <v>1.6</v>
      </c>
      <c r="K47" s="32">
        <v>16.55</v>
      </c>
      <c r="L47" s="2">
        <f t="shared" ref="L47:L56" si="15">L46+1</f>
        <v>25</v>
      </c>
      <c r="M47" s="32">
        <v>2.81</v>
      </c>
      <c r="N47" s="1" t="s">
        <v>19</v>
      </c>
    </row>
    <row r="48">
      <c r="A48" s="1" t="s">
        <v>75</v>
      </c>
      <c r="B48" s="1" t="s">
        <v>80</v>
      </c>
      <c r="C48" s="1">
        <v>2016.0</v>
      </c>
      <c r="D48" s="32">
        <v>2.44</v>
      </c>
      <c r="E48" s="2">
        <f>100-29</f>
        <v>71</v>
      </c>
      <c r="F48" s="1">
        <v>0.4</v>
      </c>
      <c r="G48" s="1">
        <v>9.9</v>
      </c>
      <c r="H48" s="1">
        <v>0.5</v>
      </c>
      <c r="I48" s="34">
        <v>7.01</v>
      </c>
      <c r="J48" s="32">
        <v>1.46</v>
      </c>
      <c r="K48" s="32">
        <v>15.36</v>
      </c>
      <c r="L48" s="2">
        <f t="shared" si="15"/>
        <v>26</v>
      </c>
      <c r="M48" s="32">
        <v>2.39</v>
      </c>
      <c r="N48" s="1" t="s">
        <v>19</v>
      </c>
    </row>
    <row r="49">
      <c r="A49" s="1" t="s">
        <v>75</v>
      </c>
      <c r="B49" s="1" t="s">
        <v>80</v>
      </c>
      <c r="C49" s="1">
        <v>2017.0</v>
      </c>
      <c r="D49" s="32">
        <v>2.37</v>
      </c>
      <c r="E49" s="2">
        <f t="shared" ref="E49:E50" si="16">100-31</f>
        <v>69</v>
      </c>
      <c r="F49" s="1">
        <v>9.0</v>
      </c>
      <c r="G49" s="1">
        <v>4.5</v>
      </c>
      <c r="H49" s="1">
        <v>0.2</v>
      </c>
      <c r="I49" s="34">
        <v>7.2</v>
      </c>
      <c r="J49" s="32">
        <v>1.32</v>
      </c>
      <c r="K49" s="32">
        <v>14.15</v>
      </c>
      <c r="L49" s="2">
        <f t="shared" si="15"/>
        <v>27</v>
      </c>
      <c r="M49" s="32">
        <v>2.44</v>
      </c>
      <c r="N49" s="1" t="s">
        <v>19</v>
      </c>
    </row>
    <row r="50">
      <c r="A50" s="1" t="s">
        <v>75</v>
      </c>
      <c r="B50" s="1" t="s">
        <v>80</v>
      </c>
      <c r="C50" s="1">
        <v>2018.0</v>
      </c>
      <c r="D50" s="32">
        <v>2.26</v>
      </c>
      <c r="E50" s="2">
        <f t="shared" si="16"/>
        <v>69</v>
      </c>
      <c r="F50" s="1">
        <v>7.6</v>
      </c>
      <c r="G50" s="1">
        <v>4.1</v>
      </c>
      <c r="H50" s="1">
        <v>0.2</v>
      </c>
      <c r="I50" s="34">
        <v>7.32</v>
      </c>
      <c r="J50" s="32">
        <v>1.24</v>
      </c>
      <c r="K50" s="32">
        <v>13.53</v>
      </c>
      <c r="L50" s="2">
        <f t="shared" si="15"/>
        <v>28</v>
      </c>
      <c r="M50" s="32">
        <v>2.37</v>
      </c>
      <c r="N50" s="1" t="s">
        <v>19</v>
      </c>
    </row>
    <row r="51">
      <c r="A51" s="1" t="s">
        <v>75</v>
      </c>
      <c r="B51" s="1" t="s">
        <v>80</v>
      </c>
      <c r="C51" s="1">
        <v>2019.0</v>
      </c>
      <c r="D51" s="32">
        <v>2.59</v>
      </c>
      <c r="E51" s="2">
        <f>100-34</f>
        <v>66</v>
      </c>
      <c r="F51" s="1">
        <v>6.7</v>
      </c>
      <c r="G51" s="1">
        <v>4.6</v>
      </c>
      <c r="H51" s="1">
        <v>1.2</v>
      </c>
      <c r="I51" s="34">
        <v>7.38</v>
      </c>
      <c r="J51" s="32">
        <v>1.15</v>
      </c>
      <c r="K51" s="32">
        <v>12.83</v>
      </c>
      <c r="L51" s="2">
        <f t="shared" si="15"/>
        <v>29</v>
      </c>
      <c r="M51" s="32">
        <v>2.26</v>
      </c>
      <c r="N51" s="1" t="s">
        <v>19</v>
      </c>
    </row>
    <row r="52">
      <c r="A52" s="1" t="s">
        <v>75</v>
      </c>
      <c r="B52" s="1" t="s">
        <v>80</v>
      </c>
      <c r="C52" s="1">
        <v>2020.0</v>
      </c>
      <c r="D52" s="32">
        <v>3.04</v>
      </c>
      <c r="E52" s="2">
        <f t="shared" ref="E52:E53" si="17">100-33</f>
        <v>67</v>
      </c>
      <c r="F52" s="1">
        <v>-2.4</v>
      </c>
      <c r="G52" s="1">
        <v>6.1</v>
      </c>
      <c r="H52" s="1">
        <v>1.9</v>
      </c>
      <c r="I52" s="34">
        <v>7.43</v>
      </c>
      <c r="J52" s="32">
        <v>0.76</v>
      </c>
      <c r="K52" s="32">
        <v>8.78</v>
      </c>
      <c r="L52" s="2">
        <f t="shared" si="15"/>
        <v>30</v>
      </c>
      <c r="M52" s="32">
        <v>2.59</v>
      </c>
      <c r="N52" s="1" t="s">
        <v>19</v>
      </c>
    </row>
    <row r="53">
      <c r="A53" s="1" t="s">
        <v>75</v>
      </c>
      <c r="B53" s="1" t="s">
        <v>80</v>
      </c>
      <c r="C53" s="1">
        <v>2021.0</v>
      </c>
      <c r="D53" s="32">
        <v>2.86</v>
      </c>
      <c r="E53" s="1">
        <f t="shared" si="17"/>
        <v>67</v>
      </c>
      <c r="F53" s="1">
        <v>4.8</v>
      </c>
      <c r="G53" s="1">
        <v>3.6</v>
      </c>
      <c r="H53" s="1">
        <v>1.7</v>
      </c>
      <c r="I53" s="34">
        <v>7.58</v>
      </c>
      <c r="J53" s="32">
        <v>0.95</v>
      </c>
      <c r="K53" s="32">
        <v>11.45</v>
      </c>
      <c r="L53" s="2">
        <f t="shared" si="15"/>
        <v>31</v>
      </c>
      <c r="M53" s="32">
        <v>3.04</v>
      </c>
      <c r="N53" s="1" t="s">
        <v>19</v>
      </c>
    </row>
    <row r="54">
      <c r="A54" s="1" t="s">
        <v>75</v>
      </c>
      <c r="B54" s="1" t="s">
        <v>80</v>
      </c>
      <c r="C54" s="1">
        <v>2022.0</v>
      </c>
      <c r="D54" s="33">
        <v>1.78</v>
      </c>
      <c r="E54" s="2">
        <f>100-34</f>
        <v>66</v>
      </c>
      <c r="F54" s="1">
        <v>5.6</v>
      </c>
      <c r="G54" s="1">
        <v>6.4</v>
      </c>
      <c r="H54" s="1">
        <v>0.8</v>
      </c>
      <c r="I54" s="34">
        <v>7.68</v>
      </c>
      <c r="J54" s="32">
        <v>1.14</v>
      </c>
      <c r="K54" s="32">
        <v>13.83</v>
      </c>
      <c r="L54" s="2">
        <f t="shared" si="15"/>
        <v>32</v>
      </c>
      <c r="M54" s="32">
        <v>2.86</v>
      </c>
      <c r="N54" s="1" t="s">
        <v>19</v>
      </c>
    </row>
    <row r="55">
      <c r="A55" s="1" t="s">
        <v>75</v>
      </c>
      <c r="B55" s="1" t="s">
        <v>80</v>
      </c>
      <c r="C55" s="1">
        <v>2023.0</v>
      </c>
      <c r="D55" s="32">
        <v>1.62</v>
      </c>
      <c r="E55" s="1">
        <f>100-35</f>
        <v>65</v>
      </c>
      <c r="F55" s="1">
        <v>2.0</v>
      </c>
      <c r="G55" s="1">
        <v>7.7</v>
      </c>
      <c r="H55" s="1">
        <v>-0.1</v>
      </c>
      <c r="I55" s="34">
        <v>7.78</v>
      </c>
      <c r="J55" s="32">
        <v>1.03</v>
      </c>
      <c r="K55" s="32">
        <v>12.96</v>
      </c>
      <c r="L55" s="2">
        <f t="shared" si="15"/>
        <v>33</v>
      </c>
      <c r="M55" s="33">
        <v>1.78</v>
      </c>
      <c r="N55" s="1" t="s">
        <v>19</v>
      </c>
    </row>
    <row r="56">
      <c r="A56" s="1" t="s">
        <v>75</v>
      </c>
      <c r="B56" s="1" t="s">
        <v>80</v>
      </c>
      <c r="C56" s="1">
        <v>2024.0</v>
      </c>
      <c r="D56" s="33">
        <v>1.48</v>
      </c>
      <c r="E56" s="2">
        <f>100-34</f>
        <v>66</v>
      </c>
      <c r="F56" s="1">
        <v>3.7</v>
      </c>
      <c r="G56" s="1">
        <v>5.4</v>
      </c>
      <c r="H56" s="1">
        <v>-0.1</v>
      </c>
      <c r="I56" s="33">
        <v>7.9</v>
      </c>
      <c r="J56" s="1">
        <v>0.9</v>
      </c>
      <c r="K56" s="1">
        <v>11.58</v>
      </c>
      <c r="L56" s="2">
        <f t="shared" si="15"/>
        <v>34</v>
      </c>
      <c r="M56" s="32">
        <v>1.62</v>
      </c>
      <c r="N56" s="1" t="s">
        <v>19</v>
      </c>
    </row>
    <row r="57">
      <c r="A57" s="1" t="s">
        <v>75</v>
      </c>
      <c r="B57" s="1" t="s">
        <v>81</v>
      </c>
      <c r="C57" s="1">
        <v>2014.0</v>
      </c>
      <c r="D57" s="32">
        <v>1.84</v>
      </c>
      <c r="E57" s="2">
        <f>100-29</f>
        <v>71</v>
      </c>
      <c r="F57" s="1">
        <v>6.0</v>
      </c>
      <c r="G57" s="1">
        <v>9.0</v>
      </c>
      <c r="H57" s="1">
        <v>0.3</v>
      </c>
      <c r="I57" s="32">
        <v>6.71</v>
      </c>
      <c r="J57" s="35">
        <v>2.52</v>
      </c>
      <c r="K57" s="32">
        <v>28.11</v>
      </c>
      <c r="L57" s="1">
        <v>24.0</v>
      </c>
      <c r="M57" s="33">
        <v>1.9</v>
      </c>
      <c r="N57" s="1" t="s">
        <v>19</v>
      </c>
    </row>
    <row r="58">
      <c r="A58" s="1" t="s">
        <v>75</v>
      </c>
      <c r="B58" s="1" t="s">
        <v>81</v>
      </c>
      <c r="C58" s="1">
        <v>2015.0</v>
      </c>
      <c r="D58" s="32">
        <v>1.7</v>
      </c>
      <c r="E58" s="1">
        <f>100-27</f>
        <v>73</v>
      </c>
      <c r="F58" s="1">
        <v>4.0</v>
      </c>
      <c r="G58" s="1">
        <v>7.8</v>
      </c>
      <c r="H58" s="1">
        <v>0.5</v>
      </c>
      <c r="I58" s="32">
        <v>6.84</v>
      </c>
      <c r="J58" s="35">
        <v>2.35</v>
      </c>
      <c r="K58" s="32">
        <v>26.11</v>
      </c>
      <c r="L58" s="2">
        <f t="shared" ref="L58:L67" si="18">L57+1</f>
        <v>25</v>
      </c>
      <c r="M58" s="32">
        <v>1.84</v>
      </c>
      <c r="N58" s="1" t="s">
        <v>19</v>
      </c>
    </row>
    <row r="59">
      <c r="A59" s="1" t="s">
        <v>75</v>
      </c>
      <c r="B59" s="1" t="s">
        <v>81</v>
      </c>
      <c r="C59" s="1">
        <v>2016.0</v>
      </c>
      <c r="D59" s="32">
        <v>1.73</v>
      </c>
      <c r="E59" s="2">
        <f>100-29</f>
        <v>71</v>
      </c>
      <c r="F59" s="1">
        <v>0.4</v>
      </c>
      <c r="G59" s="1">
        <v>9.9</v>
      </c>
      <c r="H59" s="1">
        <v>0.5</v>
      </c>
      <c r="I59" s="32">
        <v>6.98</v>
      </c>
      <c r="J59" s="35">
        <v>2.13</v>
      </c>
      <c r="K59" s="32">
        <v>23.66</v>
      </c>
      <c r="L59" s="2">
        <f t="shared" si="18"/>
        <v>26</v>
      </c>
      <c r="M59" s="32">
        <v>1.7</v>
      </c>
      <c r="N59" s="1" t="s">
        <v>19</v>
      </c>
    </row>
    <row r="60">
      <c r="A60" s="1" t="s">
        <v>75</v>
      </c>
      <c r="B60" s="1" t="s">
        <v>81</v>
      </c>
      <c r="C60" s="1">
        <v>2017.0</v>
      </c>
      <c r="D60" s="32">
        <v>1.56</v>
      </c>
      <c r="E60" s="2">
        <f t="shared" ref="E60:E61" si="19">100-31</f>
        <v>69</v>
      </c>
      <c r="F60" s="1">
        <v>9.0</v>
      </c>
      <c r="G60" s="1">
        <v>4.5</v>
      </c>
      <c r="H60" s="1">
        <v>0.2</v>
      </c>
      <c r="I60" s="32">
        <v>7.21</v>
      </c>
      <c r="J60" s="35">
        <v>1.9</v>
      </c>
      <c r="K60" s="32">
        <v>21.41</v>
      </c>
      <c r="L60" s="2">
        <f t="shared" si="18"/>
        <v>27</v>
      </c>
      <c r="M60" s="32">
        <v>1.73</v>
      </c>
      <c r="N60" s="1" t="s">
        <v>19</v>
      </c>
    </row>
    <row r="61">
      <c r="A61" s="1" t="s">
        <v>75</v>
      </c>
      <c r="B61" s="1" t="s">
        <v>81</v>
      </c>
      <c r="C61" s="1">
        <v>2018.0</v>
      </c>
      <c r="D61" s="32">
        <v>1.55</v>
      </c>
      <c r="E61" s="2">
        <f t="shared" si="19"/>
        <v>69</v>
      </c>
      <c r="F61" s="1">
        <v>7.6</v>
      </c>
      <c r="G61" s="1">
        <v>4.1</v>
      </c>
      <c r="H61" s="1">
        <v>0.2</v>
      </c>
      <c r="I61" s="32">
        <v>7.37</v>
      </c>
      <c r="J61" s="35">
        <v>1.69</v>
      </c>
      <c r="K61" s="32">
        <v>19.32</v>
      </c>
      <c r="L61" s="2">
        <f t="shared" si="18"/>
        <v>28</v>
      </c>
      <c r="M61" s="32">
        <v>1.56</v>
      </c>
      <c r="N61" s="1" t="s">
        <v>19</v>
      </c>
    </row>
    <row r="62">
      <c r="A62" s="1" t="s">
        <v>75</v>
      </c>
      <c r="B62" s="1" t="s">
        <v>81</v>
      </c>
      <c r="C62" s="1">
        <v>2019.0</v>
      </c>
      <c r="D62" s="32">
        <v>1.54</v>
      </c>
      <c r="E62" s="2">
        <f>100-34</f>
        <v>66</v>
      </c>
      <c r="F62" s="1">
        <v>6.7</v>
      </c>
      <c r="G62" s="1">
        <v>4.6</v>
      </c>
      <c r="H62" s="1">
        <v>1.2</v>
      </c>
      <c r="I62" s="32">
        <v>7.47</v>
      </c>
      <c r="J62" s="35">
        <v>1.52</v>
      </c>
      <c r="K62" s="32">
        <v>17.84</v>
      </c>
      <c r="L62" s="2">
        <f t="shared" si="18"/>
        <v>29</v>
      </c>
      <c r="M62" s="32">
        <v>1.55</v>
      </c>
      <c r="N62" s="1" t="s">
        <v>19</v>
      </c>
    </row>
    <row r="63">
      <c r="A63" s="1" t="s">
        <v>75</v>
      </c>
      <c r="B63" s="1" t="s">
        <v>81</v>
      </c>
      <c r="C63" s="1">
        <v>2020.0</v>
      </c>
      <c r="D63" s="32">
        <v>2.28</v>
      </c>
      <c r="E63" s="2">
        <f t="shared" ref="E63:E64" si="20">100-33</f>
        <v>67</v>
      </c>
      <c r="F63" s="1">
        <v>-2.4</v>
      </c>
      <c r="G63" s="1">
        <v>6.1</v>
      </c>
      <c r="H63" s="1">
        <v>1.9</v>
      </c>
      <c r="I63" s="32">
        <v>7.54</v>
      </c>
      <c r="J63" s="35">
        <v>1.05</v>
      </c>
      <c r="K63" s="32">
        <v>12.85</v>
      </c>
      <c r="L63" s="2">
        <f t="shared" si="18"/>
        <v>30</v>
      </c>
      <c r="M63" s="32">
        <v>1.54</v>
      </c>
      <c r="N63" s="1" t="s">
        <v>19</v>
      </c>
    </row>
    <row r="64">
      <c r="A64" s="1" t="s">
        <v>75</v>
      </c>
      <c r="B64" s="1" t="s">
        <v>81</v>
      </c>
      <c r="C64" s="1">
        <v>2021.0</v>
      </c>
      <c r="D64" s="32">
        <v>2.67</v>
      </c>
      <c r="E64" s="1">
        <f t="shared" si="20"/>
        <v>67</v>
      </c>
      <c r="F64" s="1">
        <v>4.8</v>
      </c>
      <c r="G64" s="1">
        <v>3.6</v>
      </c>
      <c r="H64" s="1">
        <v>1.7</v>
      </c>
      <c r="I64" s="32">
        <v>7.72</v>
      </c>
      <c r="J64" s="35">
        <v>1.12</v>
      </c>
      <c r="K64" s="32">
        <v>14.4</v>
      </c>
      <c r="L64" s="2">
        <f t="shared" si="18"/>
        <v>31</v>
      </c>
      <c r="M64" s="32">
        <v>2.28</v>
      </c>
      <c r="N64" s="1" t="s">
        <v>19</v>
      </c>
    </row>
    <row r="65">
      <c r="A65" s="1" t="s">
        <v>75</v>
      </c>
      <c r="B65" s="1" t="s">
        <v>81</v>
      </c>
      <c r="C65" s="1">
        <v>2022.0</v>
      </c>
      <c r="D65" s="33">
        <v>1.54</v>
      </c>
      <c r="E65" s="2">
        <f>100-34</f>
        <v>66</v>
      </c>
      <c r="F65" s="1">
        <v>5.6</v>
      </c>
      <c r="G65" s="1">
        <v>6.4</v>
      </c>
      <c r="H65" s="1">
        <v>0.8</v>
      </c>
      <c r="I65" s="32">
        <v>7.83</v>
      </c>
      <c r="J65" s="35">
        <v>1.25</v>
      </c>
      <c r="K65" s="32">
        <v>16.27</v>
      </c>
      <c r="L65" s="2">
        <f t="shared" si="18"/>
        <v>32</v>
      </c>
      <c r="M65" s="32">
        <v>2.67</v>
      </c>
      <c r="N65" s="1" t="s">
        <v>19</v>
      </c>
    </row>
    <row r="66">
      <c r="A66" s="1" t="s">
        <v>75</v>
      </c>
      <c r="B66" s="1" t="s">
        <v>81</v>
      </c>
      <c r="C66" s="1">
        <v>2023.0</v>
      </c>
      <c r="D66" s="32">
        <v>1.45</v>
      </c>
      <c r="E66" s="1">
        <f>100-35</f>
        <v>65</v>
      </c>
      <c r="F66" s="1">
        <v>2.0</v>
      </c>
      <c r="G66" s="1">
        <v>7.7</v>
      </c>
      <c r="H66" s="1">
        <v>-0.1</v>
      </c>
      <c r="I66" s="32">
        <v>7.95</v>
      </c>
      <c r="J66" s="35">
        <v>1.11</v>
      </c>
      <c r="K66" s="32">
        <v>14.86</v>
      </c>
      <c r="L66" s="2">
        <f t="shared" si="18"/>
        <v>33</v>
      </c>
      <c r="M66" s="33">
        <v>1.54</v>
      </c>
      <c r="N66" s="1" t="s">
        <v>19</v>
      </c>
    </row>
    <row r="67">
      <c r="A67" s="1" t="s">
        <v>75</v>
      </c>
      <c r="B67" s="1" t="s">
        <v>81</v>
      </c>
      <c r="C67" s="1">
        <v>2024.0</v>
      </c>
      <c r="D67" s="33">
        <v>1.42</v>
      </c>
      <c r="E67" s="2">
        <f>100-34</f>
        <v>66</v>
      </c>
      <c r="F67" s="1">
        <v>3.7</v>
      </c>
      <c r="G67" s="1">
        <v>5.4</v>
      </c>
      <c r="H67" s="1">
        <v>-0.1</v>
      </c>
      <c r="I67" s="1">
        <v>8.09</v>
      </c>
      <c r="J67" s="33">
        <v>0.96</v>
      </c>
      <c r="K67" s="1">
        <v>13.19</v>
      </c>
      <c r="L67" s="2">
        <f t="shared" si="18"/>
        <v>34</v>
      </c>
      <c r="M67" s="32">
        <v>1.45</v>
      </c>
      <c r="N67" s="1" t="s">
        <v>19</v>
      </c>
    </row>
    <row r="68">
      <c r="A68" s="1" t="s">
        <v>82</v>
      </c>
      <c r="B68" s="1" t="s">
        <v>83</v>
      </c>
      <c r="C68" s="1">
        <v>2014.0</v>
      </c>
      <c r="D68" s="1">
        <v>4.96</v>
      </c>
      <c r="E68" s="1">
        <v>65.0</v>
      </c>
      <c r="F68" s="1">
        <v>5.88</v>
      </c>
      <c r="G68" s="1">
        <v>8.27</v>
      </c>
      <c r="H68" s="1">
        <v>1.1</v>
      </c>
      <c r="I68" s="1">
        <v>20.28</v>
      </c>
      <c r="J68" s="1">
        <v>2.13</v>
      </c>
      <c r="K68" s="1">
        <v>17.43</v>
      </c>
      <c r="L68" s="4">
        <v>46.0</v>
      </c>
      <c r="M68" s="1">
        <v>12.82</v>
      </c>
      <c r="N68" s="1" t="s">
        <v>17</v>
      </c>
    </row>
    <row r="69">
      <c r="A69" s="1" t="s">
        <v>82</v>
      </c>
      <c r="B69" s="1" t="s">
        <v>83</v>
      </c>
      <c r="C69" s="1">
        <v>2015.0</v>
      </c>
      <c r="D69" s="1">
        <v>4.33</v>
      </c>
      <c r="E69" s="1">
        <v>65.0</v>
      </c>
      <c r="F69" s="1">
        <v>6.66</v>
      </c>
      <c r="G69" s="1">
        <v>6.7</v>
      </c>
      <c r="H69" s="1">
        <v>1.0</v>
      </c>
      <c r="I69" s="1">
        <v>20.22</v>
      </c>
      <c r="J69" s="1">
        <v>2.11</v>
      </c>
      <c r="K69" s="1">
        <v>17.6</v>
      </c>
      <c r="L69" s="4">
        <v>47.0</v>
      </c>
      <c r="M69" s="6">
        <v>4.96</v>
      </c>
      <c r="N69" s="1" t="s">
        <v>17</v>
      </c>
    </row>
    <row r="70">
      <c r="A70" s="1" t="s">
        <v>82</v>
      </c>
      <c r="B70" s="1" t="s">
        <v>83</v>
      </c>
      <c r="C70" s="1">
        <v>2016.0</v>
      </c>
      <c r="D70" s="1">
        <v>4.45</v>
      </c>
      <c r="E70" s="1">
        <v>65.0</v>
      </c>
      <c r="F70" s="1">
        <v>8.48</v>
      </c>
      <c r="G70" s="1">
        <v>3.3</v>
      </c>
      <c r="H70" s="1">
        <v>0.9</v>
      </c>
      <c r="I70" s="1">
        <v>24.526</v>
      </c>
      <c r="J70" s="1">
        <v>2.37</v>
      </c>
      <c r="K70" s="1">
        <v>16.96</v>
      </c>
      <c r="L70" s="4">
        <v>48.0</v>
      </c>
      <c r="M70" s="6">
        <v>4.33</v>
      </c>
      <c r="N70" s="1" t="s">
        <v>17</v>
      </c>
    </row>
    <row r="71">
      <c r="A71" s="1" t="s">
        <v>82</v>
      </c>
      <c r="B71" s="1" t="s">
        <v>83</v>
      </c>
      <c r="C71" s="1">
        <v>2017.0</v>
      </c>
      <c r="D71" s="1">
        <v>3.16</v>
      </c>
      <c r="E71" s="1">
        <v>67.0</v>
      </c>
      <c r="F71" s="1">
        <v>2.09</v>
      </c>
      <c r="G71" s="1">
        <v>4.3</v>
      </c>
      <c r="H71" s="1">
        <v>0.7</v>
      </c>
      <c r="I71" s="1">
        <v>20.48</v>
      </c>
      <c r="J71" s="1">
        <v>1.6</v>
      </c>
      <c r="K71" s="1">
        <v>12.53</v>
      </c>
      <c r="L71" s="4">
        <v>49.0</v>
      </c>
      <c r="M71" s="6">
        <v>4.45</v>
      </c>
      <c r="N71" s="1" t="s">
        <v>17</v>
      </c>
    </row>
    <row r="72">
      <c r="A72" s="1" t="s">
        <v>82</v>
      </c>
      <c r="B72" s="1" t="s">
        <v>83</v>
      </c>
      <c r="C72" s="1">
        <v>2018.0</v>
      </c>
      <c r="D72" s="1">
        <v>2.87</v>
      </c>
      <c r="E72" s="1">
        <v>68.0</v>
      </c>
      <c r="F72" s="1">
        <v>3.5</v>
      </c>
      <c r="G72" s="1">
        <v>3.6</v>
      </c>
      <c r="H72" s="1">
        <v>0.7</v>
      </c>
      <c r="I72" s="1">
        <v>20.49</v>
      </c>
      <c r="J72" s="1">
        <v>1.94</v>
      </c>
      <c r="K72" s="1">
        <v>14.71</v>
      </c>
      <c r="L72" s="4">
        <v>50.0</v>
      </c>
      <c r="M72" s="6">
        <v>3.16</v>
      </c>
      <c r="N72" s="1" t="s">
        <v>17</v>
      </c>
    </row>
    <row r="73">
      <c r="A73" s="1" t="s">
        <v>82</v>
      </c>
      <c r="B73" s="1" t="s">
        <v>83</v>
      </c>
      <c r="C73" s="1">
        <v>2019.0</v>
      </c>
      <c r="D73" s="1">
        <v>3.61</v>
      </c>
      <c r="E73" s="1">
        <v>68.0</v>
      </c>
      <c r="F73" s="1">
        <v>5.76</v>
      </c>
      <c r="G73" s="1">
        <v>2.8</v>
      </c>
      <c r="H73" s="1">
        <v>0.7</v>
      </c>
      <c r="I73" s="1">
        <v>20.7</v>
      </c>
      <c r="J73" s="1">
        <v>1.81</v>
      </c>
      <c r="K73" s="1">
        <v>15.89</v>
      </c>
      <c r="L73" s="4">
        <v>51.0</v>
      </c>
      <c r="M73" s="6">
        <v>2.87</v>
      </c>
      <c r="N73" s="1" t="s">
        <v>17</v>
      </c>
    </row>
    <row r="74">
      <c r="A74" s="1" t="s">
        <v>82</v>
      </c>
      <c r="B74" s="1" t="s">
        <v>83</v>
      </c>
      <c r="C74" s="1">
        <v>2020.0</v>
      </c>
      <c r="D74" s="1">
        <v>7.15</v>
      </c>
      <c r="E74" s="1">
        <v>68.0</v>
      </c>
      <c r="F74" s="1">
        <v>-10.22</v>
      </c>
      <c r="G74" s="1">
        <v>3.0</v>
      </c>
      <c r="H74" s="1">
        <v>0.7</v>
      </c>
      <c r="I74" s="1">
        <v>24.29</v>
      </c>
      <c r="J74" s="1">
        <v>0.1</v>
      </c>
      <c r="K74" s="1">
        <v>1.22</v>
      </c>
      <c r="L74" s="4">
        <v>52.0</v>
      </c>
      <c r="M74" s="6">
        <v>3.61</v>
      </c>
      <c r="N74" s="1" t="s">
        <v>17</v>
      </c>
    </row>
    <row r="75">
      <c r="A75" s="1" t="s">
        <v>82</v>
      </c>
      <c r="B75" s="1" t="s">
        <v>83</v>
      </c>
      <c r="C75" s="1">
        <v>2021.0</v>
      </c>
      <c r="D75" s="1">
        <v>3.14</v>
      </c>
      <c r="E75" s="1">
        <v>68.0</v>
      </c>
      <c r="F75" s="1">
        <v>4.42</v>
      </c>
      <c r="G75" s="1">
        <v>7.35</v>
      </c>
      <c r="H75" s="1">
        <v>0.7</v>
      </c>
      <c r="I75" s="1">
        <v>21.03</v>
      </c>
      <c r="J75" s="1">
        <v>0.44</v>
      </c>
      <c r="K75" s="1">
        <v>5.68</v>
      </c>
      <c r="L75" s="4">
        <v>53.0</v>
      </c>
      <c r="M75" s="6">
        <v>7.15</v>
      </c>
      <c r="N75" s="1" t="s">
        <v>17</v>
      </c>
    </row>
    <row r="76">
      <c r="A76" s="1" t="s">
        <v>82</v>
      </c>
      <c r="B76" s="1" t="s">
        <v>83</v>
      </c>
      <c r="C76" s="1">
        <v>2022.0</v>
      </c>
      <c r="D76" s="1">
        <v>2.65</v>
      </c>
      <c r="E76" s="1">
        <v>68.0</v>
      </c>
      <c r="F76" s="1">
        <v>5.21</v>
      </c>
      <c r="G76" s="1">
        <v>5.64</v>
      </c>
      <c r="H76" s="1">
        <v>0.7</v>
      </c>
      <c r="I76" s="1">
        <v>21.02</v>
      </c>
      <c r="J76" s="1">
        <v>0.63</v>
      </c>
      <c r="K76" s="1">
        <v>7.89</v>
      </c>
      <c r="L76" s="4">
        <v>54.0</v>
      </c>
      <c r="M76" s="6">
        <v>3.14</v>
      </c>
      <c r="N76" s="1" t="s">
        <v>17</v>
      </c>
    </row>
    <row r="77">
      <c r="A77" s="1" t="s">
        <v>82</v>
      </c>
      <c r="B77" s="1" t="s">
        <v>83</v>
      </c>
      <c r="C77" s="1">
        <v>2023.0</v>
      </c>
      <c r="D77" s="4">
        <v>2.25</v>
      </c>
      <c r="E77" s="9">
        <v>68.0</v>
      </c>
      <c r="F77" s="9">
        <v>4.9</v>
      </c>
      <c r="G77" s="9">
        <v>4.23</v>
      </c>
      <c r="H77" s="9">
        <v>0.698</v>
      </c>
      <c r="I77" s="4">
        <v>21.04</v>
      </c>
      <c r="J77" s="4">
        <v>0.91</v>
      </c>
      <c r="K77" s="4">
        <v>11.22</v>
      </c>
      <c r="L77" s="4">
        <v>55.0</v>
      </c>
      <c r="M77" s="6">
        <v>2.65</v>
      </c>
      <c r="N77" s="1" t="s">
        <v>17</v>
      </c>
    </row>
    <row r="78">
      <c r="A78" s="1" t="s">
        <v>82</v>
      </c>
      <c r="B78" s="1" t="s">
        <v>84</v>
      </c>
      <c r="C78" s="1">
        <v>2014.0</v>
      </c>
      <c r="D78" s="1">
        <v>6.49</v>
      </c>
      <c r="E78" s="1">
        <v>65.0</v>
      </c>
      <c r="F78" s="1">
        <v>5.88</v>
      </c>
      <c r="G78" s="1">
        <v>8.27</v>
      </c>
      <c r="H78" s="1">
        <v>1.1</v>
      </c>
      <c r="I78" s="1">
        <v>19.98</v>
      </c>
      <c r="J78" s="1">
        <v>2.51</v>
      </c>
      <c r="K78" s="1">
        <v>12.07</v>
      </c>
      <c r="L78" s="1">
        <v>17.0</v>
      </c>
      <c r="M78" s="1">
        <v>5.57</v>
      </c>
      <c r="N78" s="1" t="s">
        <v>17</v>
      </c>
    </row>
    <row r="79">
      <c r="A79" s="1" t="s">
        <v>82</v>
      </c>
      <c r="B79" s="1" t="s">
        <v>84</v>
      </c>
      <c r="C79" s="1">
        <v>2015.0</v>
      </c>
      <c r="D79" s="1">
        <v>6.05</v>
      </c>
      <c r="E79" s="1">
        <v>65.0</v>
      </c>
      <c r="F79" s="1">
        <v>6.66</v>
      </c>
      <c r="G79" s="1">
        <v>6.7</v>
      </c>
      <c r="H79" s="1">
        <v>1.0</v>
      </c>
      <c r="I79" s="1">
        <v>19.96</v>
      </c>
      <c r="J79" s="1">
        <v>2.54</v>
      </c>
      <c r="K79" s="1">
        <v>10.66</v>
      </c>
      <c r="L79" s="1">
        <v>18.0</v>
      </c>
      <c r="M79" s="1">
        <v>6.49</v>
      </c>
      <c r="N79" s="1" t="s">
        <v>17</v>
      </c>
    </row>
    <row r="80">
      <c r="A80" s="1" t="s">
        <v>82</v>
      </c>
      <c r="B80" s="1" t="s">
        <v>84</v>
      </c>
      <c r="C80" s="1">
        <v>2016.0</v>
      </c>
      <c r="D80" s="1">
        <v>6.91</v>
      </c>
      <c r="E80" s="1">
        <v>65.0</v>
      </c>
      <c r="F80" s="1">
        <v>8.48</v>
      </c>
      <c r="G80" s="1">
        <v>3.3</v>
      </c>
      <c r="H80" s="1">
        <v>0.9</v>
      </c>
      <c r="I80" s="1">
        <v>20.09</v>
      </c>
      <c r="J80" s="1">
        <v>1.98</v>
      </c>
      <c r="K80" s="1">
        <v>10.33</v>
      </c>
      <c r="L80" s="1">
        <v>19.0</v>
      </c>
      <c r="M80" s="1">
        <v>6.05</v>
      </c>
      <c r="N80" s="1" t="s">
        <v>17</v>
      </c>
    </row>
    <row r="81">
      <c r="A81" s="1" t="s">
        <v>82</v>
      </c>
      <c r="B81" s="1" t="s">
        <v>84</v>
      </c>
      <c r="C81" s="1">
        <v>2017.0</v>
      </c>
      <c r="D81" s="1">
        <v>5.49</v>
      </c>
      <c r="E81" s="1">
        <v>67.0</v>
      </c>
      <c r="F81" s="1">
        <v>2.09</v>
      </c>
      <c r="G81" s="1">
        <v>4.3</v>
      </c>
      <c r="H81" s="1">
        <v>0.7</v>
      </c>
      <c r="I81" s="1">
        <v>20.23</v>
      </c>
      <c r="J81" s="1">
        <v>2.06</v>
      </c>
      <c r="K81" s="1">
        <v>12.85</v>
      </c>
      <c r="L81" s="1">
        <v>20.0</v>
      </c>
      <c r="M81" s="1">
        <v>6.91</v>
      </c>
      <c r="N81" s="1" t="s">
        <v>17</v>
      </c>
    </row>
    <row r="82">
      <c r="A82" s="1" t="s">
        <v>82</v>
      </c>
      <c r="B82" s="1" t="s">
        <v>84</v>
      </c>
      <c r="C82" s="1">
        <v>2018.0</v>
      </c>
      <c r="D82" s="1">
        <v>5.62</v>
      </c>
      <c r="E82" s="1">
        <v>68.0</v>
      </c>
      <c r="F82" s="1">
        <v>3.5</v>
      </c>
      <c r="G82" s="1">
        <v>3.6</v>
      </c>
      <c r="H82" s="1">
        <v>0.7</v>
      </c>
      <c r="I82" s="1">
        <v>20.13</v>
      </c>
      <c r="J82" s="1">
        <v>1.84</v>
      </c>
      <c r="K82" s="1">
        <v>10.74</v>
      </c>
      <c r="L82" s="1">
        <v>21.0</v>
      </c>
      <c r="M82" s="1">
        <v>5.49</v>
      </c>
      <c r="N82" s="1" t="s">
        <v>17</v>
      </c>
    </row>
    <row r="83">
      <c r="A83" s="1" t="s">
        <v>82</v>
      </c>
      <c r="B83" s="1" t="s">
        <v>84</v>
      </c>
      <c r="C83" s="1">
        <v>2019.0</v>
      </c>
      <c r="D83" s="1">
        <v>8.54</v>
      </c>
      <c r="E83" s="1">
        <v>68.0</v>
      </c>
      <c r="F83" s="1">
        <v>5.76</v>
      </c>
      <c r="G83" s="1">
        <v>2.8</v>
      </c>
      <c r="H83" s="1">
        <v>0.7</v>
      </c>
      <c r="I83" s="1">
        <v>20.23</v>
      </c>
      <c r="J83" s="1">
        <v>0.54</v>
      </c>
      <c r="K83" s="1">
        <v>3.34</v>
      </c>
      <c r="L83" s="1">
        <v>22.0</v>
      </c>
      <c r="M83" s="1">
        <v>5.62</v>
      </c>
      <c r="N83" s="1" t="s">
        <v>17</v>
      </c>
    </row>
    <row r="84">
      <c r="A84" s="1" t="s">
        <v>82</v>
      </c>
      <c r="B84" s="1" t="s">
        <v>84</v>
      </c>
      <c r="C84" s="1">
        <v>2020.0</v>
      </c>
      <c r="D84" s="1">
        <v>12.98</v>
      </c>
      <c r="E84" s="1">
        <v>68.0</v>
      </c>
      <c r="F84" s="1">
        <v>-10.22</v>
      </c>
      <c r="G84" s="1">
        <v>3.0</v>
      </c>
      <c r="H84" s="1">
        <v>0.7</v>
      </c>
      <c r="I84" s="1">
        <v>20.26</v>
      </c>
      <c r="J84" s="1">
        <v>-1.4</v>
      </c>
      <c r="K84" s="1">
        <v>-10.25</v>
      </c>
      <c r="L84" s="1">
        <v>23.0</v>
      </c>
      <c r="M84" s="1">
        <v>8.54</v>
      </c>
      <c r="N84" s="1" t="s">
        <v>17</v>
      </c>
    </row>
    <row r="85">
      <c r="A85" s="1" t="s">
        <v>82</v>
      </c>
      <c r="B85" s="1" t="s">
        <v>84</v>
      </c>
      <c r="C85" s="1">
        <v>2021.0</v>
      </c>
      <c r="D85" s="1">
        <v>7.99</v>
      </c>
      <c r="E85" s="1">
        <v>68.0</v>
      </c>
      <c r="F85" s="1">
        <v>4.42</v>
      </c>
      <c r="G85" s="1">
        <v>7.35</v>
      </c>
      <c r="H85" s="1">
        <v>0.7</v>
      </c>
      <c r="I85" s="1">
        <v>20.38</v>
      </c>
      <c r="J85" s="1">
        <v>1.45</v>
      </c>
      <c r="K85" s="1">
        <v>11.04</v>
      </c>
      <c r="L85" s="1">
        <v>24.0</v>
      </c>
      <c r="M85" s="1">
        <v>12.98</v>
      </c>
      <c r="N85" s="1" t="s">
        <v>17</v>
      </c>
    </row>
    <row r="86">
      <c r="A86" s="1" t="s">
        <v>82</v>
      </c>
      <c r="B86" s="1" t="s">
        <v>84</v>
      </c>
      <c r="C86" s="1">
        <v>2022.0</v>
      </c>
      <c r="D86" s="1">
        <v>3.44</v>
      </c>
      <c r="E86" s="1">
        <v>68.0</v>
      </c>
      <c r="F86" s="1">
        <v>5.21</v>
      </c>
      <c r="G86" s="1">
        <v>5.64</v>
      </c>
      <c r="H86" s="1">
        <v>0.7</v>
      </c>
      <c r="I86" s="1">
        <v>20.41</v>
      </c>
      <c r="J86" s="1">
        <v>2.12</v>
      </c>
      <c r="K86" s="1">
        <v>17.13</v>
      </c>
      <c r="L86" s="1">
        <v>25.0</v>
      </c>
      <c r="M86" s="1">
        <v>7.99</v>
      </c>
      <c r="N86" s="1" t="s">
        <v>17</v>
      </c>
    </row>
    <row r="87">
      <c r="A87" s="1" t="s">
        <v>82</v>
      </c>
      <c r="B87" s="1" t="s">
        <v>84</v>
      </c>
      <c r="C87" s="1">
        <v>2023.0</v>
      </c>
      <c r="D87" s="1">
        <v>2.78</v>
      </c>
      <c r="E87" s="9">
        <v>68.0</v>
      </c>
      <c r="F87" s="9">
        <v>4.9</v>
      </c>
      <c r="G87" s="9">
        <v>4.23</v>
      </c>
      <c r="H87" s="9">
        <v>0.698</v>
      </c>
      <c r="I87" s="1">
        <v>20.49</v>
      </c>
      <c r="J87" s="1">
        <v>2.75</v>
      </c>
      <c r="K87" s="1">
        <v>13.02</v>
      </c>
      <c r="L87" s="1">
        <v>26.0</v>
      </c>
      <c r="M87" s="1">
        <v>3.44</v>
      </c>
      <c r="N87" s="1" t="s">
        <v>17</v>
      </c>
    </row>
    <row r="88">
      <c r="A88" s="1" t="s">
        <v>82</v>
      </c>
      <c r="B88" s="1" t="s">
        <v>84</v>
      </c>
      <c r="C88" s="1">
        <v>2024.0</v>
      </c>
      <c r="D88" s="1">
        <v>4.75</v>
      </c>
      <c r="E88" s="1">
        <v>72.0</v>
      </c>
      <c r="F88" s="1">
        <v>7.2</v>
      </c>
      <c r="G88" s="1">
        <v>2.76</v>
      </c>
      <c r="H88" s="1">
        <v>0.651</v>
      </c>
      <c r="I88" s="1">
        <v>20.47</v>
      </c>
      <c r="J88" s="1">
        <v>0.71</v>
      </c>
      <c r="K88" s="1">
        <v>6.95</v>
      </c>
      <c r="L88" s="1">
        <v>27.0</v>
      </c>
      <c r="M88" s="1">
        <v>2.78</v>
      </c>
      <c r="N88" s="1" t="s">
        <v>17</v>
      </c>
    </row>
    <row r="89">
      <c r="A89" s="1" t="s">
        <v>82</v>
      </c>
      <c r="B89" s="1" t="s">
        <v>85</v>
      </c>
      <c r="C89" s="1">
        <v>2014.0</v>
      </c>
      <c r="D89" s="1">
        <v>3.45</v>
      </c>
      <c r="E89" s="1">
        <v>65.0</v>
      </c>
      <c r="F89" s="1">
        <v>5.88</v>
      </c>
      <c r="G89" s="1">
        <v>8.27</v>
      </c>
      <c r="H89" s="1">
        <v>1.1</v>
      </c>
      <c r="I89" s="1">
        <v>18.5627</v>
      </c>
      <c r="J89" s="1">
        <v>1.37</v>
      </c>
      <c r="K89" s="1">
        <v>14.27</v>
      </c>
      <c r="L89" s="1">
        <v>4.0</v>
      </c>
      <c r="M89" s="1">
        <v>6.34</v>
      </c>
      <c r="N89" s="1" t="s">
        <v>19</v>
      </c>
    </row>
    <row r="90">
      <c r="A90" s="1" t="s">
        <v>82</v>
      </c>
      <c r="B90" s="1" t="s">
        <v>85</v>
      </c>
      <c r="C90" s="1">
        <v>2015.0</v>
      </c>
      <c r="D90" s="1">
        <v>4.37</v>
      </c>
      <c r="E90" s="1">
        <v>65.0</v>
      </c>
      <c r="F90" s="1">
        <v>6.66</v>
      </c>
      <c r="G90" s="1">
        <v>6.7</v>
      </c>
      <c r="H90" s="1">
        <v>1.0</v>
      </c>
      <c r="I90" s="1">
        <v>18.68</v>
      </c>
      <c r="J90" s="1">
        <v>1.51</v>
      </c>
      <c r="K90" s="1">
        <v>11.93</v>
      </c>
      <c r="L90" s="1">
        <v>5.0</v>
      </c>
      <c r="M90" s="1">
        <v>3.45</v>
      </c>
      <c r="N90" s="1" t="s">
        <v>19</v>
      </c>
    </row>
    <row r="91">
      <c r="A91" s="1" t="s">
        <v>82</v>
      </c>
      <c r="B91" s="1" t="s">
        <v>85</v>
      </c>
      <c r="C91" s="1">
        <v>2016.0</v>
      </c>
      <c r="D91" s="1">
        <v>3.25</v>
      </c>
      <c r="E91" s="1">
        <v>65.0</v>
      </c>
      <c r="F91" s="1">
        <v>8.48</v>
      </c>
      <c r="G91" s="1">
        <v>3.3</v>
      </c>
      <c r="H91" s="1">
        <v>0.9</v>
      </c>
      <c r="I91" s="1">
        <v>18.83</v>
      </c>
      <c r="J91" s="1">
        <v>1.74</v>
      </c>
      <c r="K91" s="1">
        <v>17.51</v>
      </c>
      <c r="L91" s="1">
        <v>6.0</v>
      </c>
      <c r="M91" s="1">
        <v>4.37</v>
      </c>
      <c r="N91" s="1" t="s">
        <v>19</v>
      </c>
    </row>
    <row r="92">
      <c r="A92" s="1" t="s">
        <v>82</v>
      </c>
      <c r="B92" s="1" t="s">
        <v>85</v>
      </c>
      <c r="C92" s="1">
        <v>2017.0</v>
      </c>
      <c r="D92" s="1">
        <v>1.66</v>
      </c>
      <c r="E92" s="1">
        <v>67.0</v>
      </c>
      <c r="F92" s="1">
        <v>2.09</v>
      </c>
      <c r="G92" s="1">
        <v>4.3</v>
      </c>
      <c r="H92" s="1">
        <v>0.7</v>
      </c>
      <c r="I92" s="1">
        <v>19.18</v>
      </c>
      <c r="J92" s="1">
        <v>1.53</v>
      </c>
      <c r="K92" s="1">
        <v>17.95</v>
      </c>
      <c r="L92" s="1">
        <v>7.0</v>
      </c>
      <c r="M92" s="1">
        <v>3.25</v>
      </c>
      <c r="N92" s="1" t="s">
        <v>19</v>
      </c>
    </row>
    <row r="93">
      <c r="A93" s="1" t="s">
        <v>82</v>
      </c>
      <c r="B93" s="1" t="s">
        <v>85</v>
      </c>
      <c r="C93" s="1">
        <v>2018.0</v>
      </c>
      <c r="D93" s="1">
        <v>2.75</v>
      </c>
      <c r="E93" s="1">
        <v>68.0</v>
      </c>
      <c r="F93" s="1">
        <v>3.5</v>
      </c>
      <c r="G93" s="1">
        <v>3.6</v>
      </c>
      <c r="H93" s="1">
        <v>0.7</v>
      </c>
      <c r="I93" s="1">
        <v>19.16</v>
      </c>
      <c r="J93" s="1">
        <v>1.32</v>
      </c>
      <c r="K93" s="1">
        <v>15.93</v>
      </c>
      <c r="L93" s="1">
        <v>8.0</v>
      </c>
      <c r="M93" s="1">
        <v>1.66</v>
      </c>
      <c r="N93" s="1" t="s">
        <v>19</v>
      </c>
    </row>
    <row r="94">
      <c r="A94" s="1" t="s">
        <v>82</v>
      </c>
      <c r="B94" s="1" t="s">
        <v>85</v>
      </c>
      <c r="C94" s="1">
        <v>2019.0</v>
      </c>
      <c r="D94" s="1">
        <v>3.98</v>
      </c>
      <c r="E94" s="1">
        <v>68.0</v>
      </c>
      <c r="F94" s="1">
        <v>5.76</v>
      </c>
      <c r="G94" s="1">
        <v>2.8</v>
      </c>
      <c r="H94" s="1">
        <v>0.7</v>
      </c>
      <c r="I94" s="1">
        <v>19.29</v>
      </c>
      <c r="J94" s="1">
        <v>1.13</v>
      </c>
      <c r="K94" s="1">
        <v>10.79</v>
      </c>
      <c r="L94" s="1">
        <v>9.0</v>
      </c>
      <c r="M94" s="1">
        <v>2.75</v>
      </c>
      <c r="N94" s="1" t="s">
        <v>19</v>
      </c>
    </row>
    <row r="95">
      <c r="A95" s="1" t="s">
        <v>82</v>
      </c>
      <c r="B95" s="1" t="s">
        <v>85</v>
      </c>
      <c r="C95" s="1">
        <v>2020.0</v>
      </c>
      <c r="D95" s="1">
        <v>5.45</v>
      </c>
      <c r="E95" s="1">
        <v>68.0</v>
      </c>
      <c r="F95" s="1">
        <v>-10.22</v>
      </c>
      <c r="G95" s="1">
        <v>3.0</v>
      </c>
      <c r="H95" s="1">
        <v>0.7</v>
      </c>
      <c r="I95" s="1">
        <v>19.46</v>
      </c>
      <c r="J95" s="1">
        <v>0.29</v>
      </c>
      <c r="K95" s="1">
        <v>2.96</v>
      </c>
      <c r="L95" s="1">
        <v>10.0</v>
      </c>
      <c r="M95" s="1">
        <v>3.98</v>
      </c>
      <c r="N95" s="1" t="s">
        <v>19</v>
      </c>
    </row>
    <row r="96">
      <c r="A96" s="1" t="s">
        <v>82</v>
      </c>
      <c r="B96" s="1" t="s">
        <v>85</v>
      </c>
      <c r="C96" s="1">
        <v>2021.0</v>
      </c>
      <c r="D96" s="1">
        <v>4.66</v>
      </c>
      <c r="E96" s="1">
        <v>68.0</v>
      </c>
      <c r="F96" s="1">
        <v>4.42</v>
      </c>
      <c r="G96" s="1">
        <v>7.35</v>
      </c>
      <c r="H96" s="1">
        <v>0.7</v>
      </c>
      <c r="I96" s="1">
        <v>19.53</v>
      </c>
      <c r="J96" s="1">
        <v>0.98</v>
      </c>
      <c r="K96" s="1">
        <v>10.73</v>
      </c>
      <c r="L96" s="1">
        <v>11.0</v>
      </c>
      <c r="M96" s="1">
        <v>5.45</v>
      </c>
      <c r="N96" s="1" t="s">
        <v>19</v>
      </c>
    </row>
    <row r="97">
      <c r="A97" s="1" t="s">
        <v>82</v>
      </c>
      <c r="B97" s="1" t="s">
        <v>85</v>
      </c>
      <c r="C97" s="1">
        <v>2022.0</v>
      </c>
      <c r="D97" s="1">
        <v>0.92</v>
      </c>
      <c r="E97" s="1">
        <v>68.0</v>
      </c>
      <c r="F97" s="1">
        <v>5.21</v>
      </c>
      <c r="G97" s="1">
        <v>5.64</v>
      </c>
      <c r="H97" s="1">
        <v>0.7</v>
      </c>
      <c r="I97" s="1">
        <v>19.59</v>
      </c>
      <c r="J97" s="1">
        <v>0.8</v>
      </c>
      <c r="K97" s="1">
        <v>9.5</v>
      </c>
      <c r="L97" s="1">
        <v>12.0</v>
      </c>
      <c r="M97" s="1">
        <v>4.66</v>
      </c>
      <c r="N97" s="1" t="s">
        <v>19</v>
      </c>
    </row>
    <row r="98">
      <c r="A98" s="1" t="s">
        <v>82</v>
      </c>
      <c r="B98" s="1" t="s">
        <v>85</v>
      </c>
      <c r="C98" s="1">
        <v>2023.0</v>
      </c>
      <c r="D98" s="1">
        <v>0.78</v>
      </c>
      <c r="E98" s="9">
        <v>68.0</v>
      </c>
      <c r="F98" s="9">
        <v>4.9</v>
      </c>
      <c r="G98" s="9">
        <v>4.23</v>
      </c>
      <c r="H98" s="9">
        <v>0.698</v>
      </c>
      <c r="I98" s="1">
        <v>19.75</v>
      </c>
      <c r="J98" s="1">
        <v>1.68</v>
      </c>
      <c r="K98" s="1">
        <v>12.98</v>
      </c>
      <c r="L98" s="1">
        <v>13.0</v>
      </c>
      <c r="M98" s="1">
        <v>0.92</v>
      </c>
      <c r="N98" s="1" t="s">
        <v>19</v>
      </c>
    </row>
    <row r="99">
      <c r="A99" s="1" t="s">
        <v>82</v>
      </c>
      <c r="B99" s="36" t="s">
        <v>86</v>
      </c>
      <c r="C99" s="1">
        <v>2014.0</v>
      </c>
      <c r="D99" s="1">
        <v>7.77</v>
      </c>
      <c r="E99" s="1">
        <v>65.0</v>
      </c>
      <c r="F99" s="1">
        <v>5.88</v>
      </c>
      <c r="G99" s="1">
        <v>8.27</v>
      </c>
      <c r="H99" s="1">
        <v>1.1</v>
      </c>
      <c r="I99" s="1">
        <v>19.39</v>
      </c>
      <c r="J99" s="1">
        <v>2.08</v>
      </c>
      <c r="K99" s="1">
        <v>12.11</v>
      </c>
      <c r="L99" s="1">
        <v>26.0</v>
      </c>
      <c r="M99" s="1">
        <v>7.21</v>
      </c>
      <c r="N99" s="1" t="s">
        <v>17</v>
      </c>
    </row>
    <row r="100">
      <c r="A100" s="1" t="s">
        <v>82</v>
      </c>
      <c r="B100" s="36" t="s">
        <v>86</v>
      </c>
      <c r="C100" s="1">
        <v>2015.0</v>
      </c>
      <c r="D100" s="1">
        <v>8.59</v>
      </c>
      <c r="E100" s="1">
        <v>65.0</v>
      </c>
      <c r="F100" s="1">
        <v>6.66</v>
      </c>
      <c r="G100" s="1">
        <v>6.7</v>
      </c>
      <c r="H100" s="1">
        <v>1.0</v>
      </c>
      <c r="I100" s="1">
        <v>19.51</v>
      </c>
      <c r="J100" s="1">
        <v>2.2</v>
      </c>
      <c r="K100" s="1">
        <v>14.2</v>
      </c>
      <c r="L100" s="1">
        <v>27.0</v>
      </c>
      <c r="M100" s="1">
        <v>7.77</v>
      </c>
      <c r="N100" s="1" t="s">
        <v>17</v>
      </c>
    </row>
    <row r="101">
      <c r="A101" s="1" t="s">
        <v>82</v>
      </c>
      <c r="B101" s="36" t="s">
        <v>86</v>
      </c>
      <c r="C101" s="1">
        <v>2016.0</v>
      </c>
      <c r="D101" s="1">
        <v>12.48</v>
      </c>
      <c r="E101" s="1">
        <v>65.0</v>
      </c>
      <c r="F101" s="1">
        <v>8.48</v>
      </c>
      <c r="G101" s="1">
        <v>3.3</v>
      </c>
      <c r="H101" s="1">
        <v>0.9</v>
      </c>
      <c r="I101" s="1">
        <v>19.63</v>
      </c>
      <c r="J101" s="1">
        <v>1.43</v>
      </c>
      <c r="K101" s="1">
        <v>9.32</v>
      </c>
      <c r="L101" s="1">
        <v>28.0</v>
      </c>
      <c r="M101" s="1">
        <v>8.59</v>
      </c>
      <c r="N101" s="1" t="s">
        <v>17</v>
      </c>
    </row>
    <row r="102">
      <c r="A102" s="1" t="s">
        <v>82</v>
      </c>
      <c r="B102" s="36" t="s">
        <v>86</v>
      </c>
      <c r="C102" s="1">
        <v>2017.0</v>
      </c>
      <c r="D102" s="1">
        <v>22.72</v>
      </c>
      <c r="E102" s="1">
        <v>67.0</v>
      </c>
      <c r="F102" s="1">
        <v>2.09</v>
      </c>
      <c r="G102" s="1">
        <v>4.3</v>
      </c>
      <c r="H102" s="1">
        <v>0.7</v>
      </c>
      <c r="I102" s="1">
        <v>19.74</v>
      </c>
      <c r="J102" s="1">
        <v>-3.88</v>
      </c>
      <c r="K102" s="1">
        <v>-31.44</v>
      </c>
      <c r="L102" s="1">
        <v>29.0</v>
      </c>
      <c r="M102" s="1">
        <v>12.48</v>
      </c>
      <c r="N102" s="1" t="s">
        <v>17</v>
      </c>
    </row>
    <row r="103">
      <c r="A103" s="1" t="s">
        <v>82</v>
      </c>
      <c r="B103" s="36" t="s">
        <v>86</v>
      </c>
      <c r="C103" s="1">
        <v>2018.0</v>
      </c>
      <c r="D103" s="1">
        <v>20.73</v>
      </c>
      <c r="E103" s="1">
        <v>68.0</v>
      </c>
      <c r="F103" s="1">
        <v>3.5</v>
      </c>
      <c r="G103" s="1">
        <v>3.6</v>
      </c>
      <c r="H103" s="1">
        <v>0.7</v>
      </c>
      <c r="I103" s="1">
        <v>19.73</v>
      </c>
      <c r="J103" s="1">
        <v>1.22</v>
      </c>
      <c r="K103" s="1">
        <v>11.94</v>
      </c>
      <c r="L103" s="1">
        <v>30.0</v>
      </c>
      <c r="M103" s="1">
        <v>22.72</v>
      </c>
      <c r="N103" s="1" t="s">
        <v>17</v>
      </c>
    </row>
    <row r="104">
      <c r="A104" s="1" t="s">
        <v>82</v>
      </c>
      <c r="B104" s="36" t="s">
        <v>86</v>
      </c>
      <c r="C104" s="1">
        <v>2019.0</v>
      </c>
      <c r="D104" s="1">
        <v>23.16</v>
      </c>
      <c r="E104" s="1">
        <v>68.0</v>
      </c>
      <c r="F104" s="1">
        <v>5.76</v>
      </c>
      <c r="G104" s="1">
        <v>2.8</v>
      </c>
      <c r="H104" s="1">
        <v>0.7</v>
      </c>
      <c r="I104" s="1">
        <v>20.48</v>
      </c>
      <c r="J104" s="1">
        <v>0.05</v>
      </c>
      <c r="K104" s="1">
        <v>0.32</v>
      </c>
      <c r="L104" s="1">
        <v>31.0</v>
      </c>
      <c r="M104" s="1">
        <v>20.73</v>
      </c>
      <c r="N104" s="1" t="s">
        <v>17</v>
      </c>
    </row>
    <row r="105">
      <c r="A105" s="1" t="s">
        <v>82</v>
      </c>
      <c r="B105" s="36" t="s">
        <v>86</v>
      </c>
      <c r="C105" s="1">
        <v>2020.0</v>
      </c>
      <c r="D105" s="1">
        <v>25.94</v>
      </c>
      <c r="E105" s="1">
        <v>68.0</v>
      </c>
      <c r="F105" s="1">
        <v>-10.22</v>
      </c>
      <c r="G105" s="1">
        <v>3.0</v>
      </c>
      <c r="H105" s="1">
        <v>0.7</v>
      </c>
      <c r="I105" s="1">
        <v>20.62</v>
      </c>
      <c r="J105" s="1">
        <v>0.41</v>
      </c>
      <c r="K105" s="1">
        <v>2.08</v>
      </c>
      <c r="L105" s="1">
        <v>32.0</v>
      </c>
      <c r="M105" s="1">
        <v>23.16</v>
      </c>
      <c r="N105" s="1" t="s">
        <v>17</v>
      </c>
    </row>
    <row r="106">
      <c r="A106" s="1" t="s">
        <v>82</v>
      </c>
      <c r="B106" s="36" t="s">
        <v>86</v>
      </c>
      <c r="C106" s="1">
        <v>2021.0</v>
      </c>
      <c r="D106" s="1">
        <v>14.88</v>
      </c>
      <c r="E106" s="1">
        <v>68.0</v>
      </c>
      <c r="F106" s="1">
        <v>4.42</v>
      </c>
      <c r="G106" s="1">
        <v>7.35</v>
      </c>
      <c r="H106" s="1">
        <v>0.7</v>
      </c>
      <c r="I106" s="1">
        <v>20.61</v>
      </c>
      <c r="J106" s="1">
        <v>-1.94</v>
      </c>
      <c r="K106" s="1">
        <v>-17.73</v>
      </c>
      <c r="L106" s="1">
        <v>33.0</v>
      </c>
      <c r="M106" s="1">
        <v>25.94</v>
      </c>
      <c r="N106" s="1" t="s">
        <v>17</v>
      </c>
    </row>
    <row r="107">
      <c r="A107" s="1" t="s">
        <v>82</v>
      </c>
      <c r="B107" s="36" t="s">
        <v>86</v>
      </c>
      <c r="C107" s="1">
        <v>2022.0</v>
      </c>
      <c r="D107" s="1">
        <v>6.4</v>
      </c>
      <c r="E107" s="1">
        <v>68.0</v>
      </c>
      <c r="F107" s="1">
        <v>5.21</v>
      </c>
      <c r="G107" s="1">
        <v>5.64</v>
      </c>
      <c r="H107" s="1">
        <v>0.7</v>
      </c>
      <c r="I107" s="1">
        <v>20.49</v>
      </c>
      <c r="J107" s="1">
        <v>-0.59</v>
      </c>
      <c r="K107" s="1">
        <v>-6.0</v>
      </c>
      <c r="L107" s="1">
        <v>34.0</v>
      </c>
      <c r="M107" s="1">
        <v>14.88</v>
      </c>
      <c r="N107" s="1" t="s">
        <v>17</v>
      </c>
    </row>
    <row r="108">
      <c r="A108" s="1" t="s">
        <v>82</v>
      </c>
      <c r="B108" s="36" t="s">
        <v>86</v>
      </c>
      <c r="C108" s="1">
        <v>2023.0</v>
      </c>
      <c r="D108" s="1">
        <v>14.6</v>
      </c>
      <c r="E108" s="9">
        <v>68.0</v>
      </c>
      <c r="F108" s="9">
        <v>4.9</v>
      </c>
      <c r="G108" s="9">
        <v>4.23</v>
      </c>
      <c r="H108" s="9">
        <v>0.698</v>
      </c>
      <c r="I108" s="1">
        <v>20.6</v>
      </c>
      <c r="J108" s="1">
        <v>1.11</v>
      </c>
      <c r="K108" s="1">
        <v>11.13</v>
      </c>
      <c r="L108" s="1">
        <v>35.0</v>
      </c>
      <c r="M108" s="1">
        <v>6.4</v>
      </c>
      <c r="N108" s="1" t="s">
        <v>17</v>
      </c>
    </row>
    <row r="109">
      <c r="A109" s="1" t="s">
        <v>87</v>
      </c>
      <c r="B109" s="1" t="s">
        <v>88</v>
      </c>
      <c r="C109" s="1">
        <v>2014.0</v>
      </c>
      <c r="D109" s="1">
        <v>20.3</v>
      </c>
      <c r="E109" s="2">
        <f>100-39</f>
        <v>61</v>
      </c>
      <c r="F109" s="8">
        <v>7.9</v>
      </c>
      <c r="G109" s="1">
        <v>2.4</v>
      </c>
      <c r="H109" s="1">
        <v>3.3</v>
      </c>
      <c r="I109" s="1">
        <v>20.73</v>
      </c>
      <c r="J109" s="1">
        <v>4.51</v>
      </c>
      <c r="K109" s="1">
        <v>30.73</v>
      </c>
      <c r="L109" s="1">
        <v>32.0</v>
      </c>
      <c r="M109" s="1">
        <v>27.7</v>
      </c>
      <c r="N109" s="1" t="s">
        <v>17</v>
      </c>
    </row>
    <row r="110">
      <c r="A110" s="1" t="s">
        <v>87</v>
      </c>
      <c r="B110" s="1" t="s">
        <v>88</v>
      </c>
      <c r="C110" s="1">
        <v>2015.0</v>
      </c>
      <c r="D110" s="1">
        <v>14.1</v>
      </c>
      <c r="E110" s="1">
        <f>100-38</f>
        <v>62</v>
      </c>
      <c r="F110" s="8">
        <v>3.9</v>
      </c>
      <c r="G110" s="1">
        <v>1.4</v>
      </c>
      <c r="H110" s="1">
        <v>3.5</v>
      </c>
      <c r="I110" s="1">
        <v>21.88</v>
      </c>
      <c r="J110" s="1">
        <v>3.95</v>
      </c>
      <c r="K110" s="1">
        <v>21.88</v>
      </c>
      <c r="L110" s="2">
        <f t="shared" ref="L110:L119" si="21">L109+1</f>
        <v>33</v>
      </c>
      <c r="M110" s="1">
        <v>20.3</v>
      </c>
      <c r="N110" s="1" t="s">
        <v>17</v>
      </c>
    </row>
    <row r="111">
      <c r="A111" s="1" t="s">
        <v>87</v>
      </c>
      <c r="B111" s="1" t="s">
        <v>88</v>
      </c>
      <c r="C111" s="1">
        <v>2016.0</v>
      </c>
      <c r="D111" s="1">
        <v>7.0</v>
      </c>
      <c r="E111" s="2">
        <f>100-36</f>
        <v>64</v>
      </c>
      <c r="F111" s="8">
        <v>6.4</v>
      </c>
      <c r="G111" s="1">
        <v>0.8</v>
      </c>
      <c r="H111" s="1">
        <v>3.5</v>
      </c>
      <c r="I111" s="1">
        <v>21.22</v>
      </c>
      <c r="J111" s="1">
        <v>5.45</v>
      </c>
      <c r="K111" s="1">
        <v>25.07</v>
      </c>
      <c r="L111" s="2">
        <f t="shared" si="21"/>
        <v>34</v>
      </c>
      <c r="M111" s="1">
        <v>14.1</v>
      </c>
      <c r="N111" s="1" t="s">
        <v>17</v>
      </c>
    </row>
    <row r="112">
      <c r="A112" s="1" t="s">
        <v>87</v>
      </c>
      <c r="B112" s="1" t="s">
        <v>88</v>
      </c>
      <c r="C112" s="1">
        <v>2017.0</v>
      </c>
      <c r="D112" s="1">
        <v>4.1</v>
      </c>
      <c r="E112" s="2">
        <f>100-33</f>
        <v>67</v>
      </c>
      <c r="F112" s="8">
        <v>7.1</v>
      </c>
      <c r="G112" s="1">
        <v>2.3</v>
      </c>
      <c r="H112" s="1">
        <v>3.3</v>
      </c>
      <c r="I112" s="1">
        <v>21.09</v>
      </c>
      <c r="J112" s="1">
        <v>5.04</v>
      </c>
      <c r="K112" s="1">
        <v>20.57</v>
      </c>
      <c r="L112" s="2">
        <f t="shared" si="21"/>
        <v>35</v>
      </c>
      <c r="M112" s="1">
        <v>7.0</v>
      </c>
      <c r="N112" s="1" t="s">
        <v>17</v>
      </c>
    </row>
    <row r="113">
      <c r="A113" s="1" t="s">
        <v>87</v>
      </c>
      <c r="B113" s="1" t="s">
        <v>88</v>
      </c>
      <c r="C113" s="1">
        <v>2018.0</v>
      </c>
      <c r="D113" s="1">
        <v>3.5</v>
      </c>
      <c r="E113" s="2">
        <f>100-31</f>
        <v>69</v>
      </c>
      <c r="F113" s="8">
        <v>8.6</v>
      </c>
      <c r="G113" s="1">
        <v>1.4</v>
      </c>
      <c r="H113" s="1">
        <v>3.2</v>
      </c>
      <c r="I113" s="1">
        <v>21.43</v>
      </c>
      <c r="J113" s="1">
        <v>4.85</v>
      </c>
      <c r="K113" s="1">
        <v>19.28</v>
      </c>
      <c r="L113" s="2">
        <f t="shared" si="21"/>
        <v>36</v>
      </c>
      <c r="M113" s="1">
        <v>4.1</v>
      </c>
      <c r="N113" s="1" t="s">
        <v>17</v>
      </c>
    </row>
    <row r="114">
      <c r="A114" s="1" t="s">
        <v>87</v>
      </c>
      <c r="B114" s="1" t="s">
        <v>88</v>
      </c>
      <c r="C114" s="1">
        <v>2019.0</v>
      </c>
      <c r="D114" s="1">
        <v>5.5</v>
      </c>
      <c r="E114" s="2">
        <f>100-29</f>
        <v>71</v>
      </c>
      <c r="F114" s="8">
        <v>6.9</v>
      </c>
      <c r="G114" s="1">
        <v>1.3</v>
      </c>
      <c r="H114" s="1">
        <v>3.0</v>
      </c>
      <c r="I114" s="1">
        <v>21.46</v>
      </c>
      <c r="J114" s="1">
        <v>4.22</v>
      </c>
      <c r="K114" s="1">
        <v>16.43</v>
      </c>
      <c r="L114" s="2">
        <f t="shared" si="21"/>
        <v>37</v>
      </c>
      <c r="M114" s="1">
        <v>3.5</v>
      </c>
      <c r="N114" s="1" t="s">
        <v>17</v>
      </c>
    </row>
    <row r="115">
      <c r="A115" s="1" t="s">
        <v>87</v>
      </c>
      <c r="B115" s="1" t="s">
        <v>88</v>
      </c>
      <c r="C115" s="1">
        <v>2020.0</v>
      </c>
      <c r="D115" s="1">
        <v>4.0</v>
      </c>
      <c r="E115" s="2">
        <f>100-43</f>
        <v>57</v>
      </c>
      <c r="F115" s="8">
        <v>-32.9</v>
      </c>
      <c r="G115" s="1">
        <v>-1.6</v>
      </c>
      <c r="H115" s="1">
        <v>2.9</v>
      </c>
      <c r="I115" s="1">
        <v>22.09</v>
      </c>
      <c r="J115" s="1">
        <v>1.13</v>
      </c>
      <c r="K115" s="1">
        <v>4.7</v>
      </c>
      <c r="L115" s="2">
        <f t="shared" si="21"/>
        <v>38</v>
      </c>
      <c r="M115" s="1">
        <v>5.5</v>
      </c>
      <c r="N115" s="1" t="s">
        <v>17</v>
      </c>
    </row>
    <row r="116">
      <c r="A116" s="1" t="s">
        <v>87</v>
      </c>
      <c r="B116" s="1" t="s">
        <v>88</v>
      </c>
      <c r="C116" s="1">
        <v>2021.0</v>
      </c>
      <c r="D116" s="1">
        <v>2.5</v>
      </c>
      <c r="E116" s="2">
        <f t="shared" ref="E116:E117" si="22">100-40</f>
        <v>60</v>
      </c>
      <c r="F116" s="8">
        <v>37.5</v>
      </c>
      <c r="G116" s="1">
        <v>0.2</v>
      </c>
      <c r="H116" s="1">
        <v>2.8</v>
      </c>
      <c r="I116" s="1">
        <v>22.65</v>
      </c>
      <c r="J116" s="1">
        <v>5.29</v>
      </c>
      <c r="K116" s="1">
        <v>5.29</v>
      </c>
      <c r="L116" s="2">
        <f t="shared" si="21"/>
        <v>39</v>
      </c>
      <c r="M116" s="1">
        <v>4.0</v>
      </c>
      <c r="N116" s="1" t="s">
        <v>17</v>
      </c>
    </row>
    <row r="117">
      <c r="A117" s="1" t="s">
        <v>87</v>
      </c>
      <c r="B117" s="1" t="s">
        <v>88</v>
      </c>
      <c r="C117" s="1">
        <v>2022.0</v>
      </c>
      <c r="D117" s="1">
        <v>1.2</v>
      </c>
      <c r="E117" s="2">
        <f t="shared" si="22"/>
        <v>60</v>
      </c>
      <c r="F117" s="8">
        <v>13.8</v>
      </c>
      <c r="G117" s="1">
        <v>2.6</v>
      </c>
      <c r="H117" s="1">
        <v>1.5</v>
      </c>
      <c r="I117" s="1">
        <v>22.72</v>
      </c>
      <c r="J117" s="1">
        <v>4.03</v>
      </c>
      <c r="K117" s="1">
        <v>17.07</v>
      </c>
      <c r="L117" s="2">
        <f t="shared" si="21"/>
        <v>40</v>
      </c>
      <c r="M117" s="1">
        <v>2.5</v>
      </c>
      <c r="N117" s="1" t="s">
        <v>17</v>
      </c>
    </row>
    <row r="118">
      <c r="A118" s="1" t="s">
        <v>87</v>
      </c>
      <c r="B118" s="1" t="s">
        <v>88</v>
      </c>
      <c r="C118" s="1">
        <v>2023.0</v>
      </c>
      <c r="D118" s="1">
        <v>1.4</v>
      </c>
      <c r="E118" s="2">
        <f>100-39</f>
        <v>61</v>
      </c>
      <c r="F118" s="8">
        <v>4.7</v>
      </c>
      <c r="G118" s="1">
        <v>2.6</v>
      </c>
      <c r="H118" s="1">
        <v>0.4</v>
      </c>
      <c r="I118" s="1">
        <v>22.81</v>
      </c>
      <c r="J118" s="1">
        <v>4.74</v>
      </c>
      <c r="K118" s="1">
        <v>18.48</v>
      </c>
      <c r="L118" s="2">
        <f t="shared" si="21"/>
        <v>41</v>
      </c>
      <c r="M118" s="1">
        <v>1.2</v>
      </c>
      <c r="N118" s="1" t="s">
        <v>17</v>
      </c>
    </row>
    <row r="119">
      <c r="A119" s="1" t="s">
        <v>87</v>
      </c>
      <c r="B119" s="1" t="s">
        <v>88</v>
      </c>
      <c r="C119" s="1">
        <v>2024.0</v>
      </c>
      <c r="D119" s="1">
        <v>1.4</v>
      </c>
      <c r="E119" s="2">
        <f>100-38</f>
        <v>62</v>
      </c>
      <c r="F119" s="8">
        <v>5.1</v>
      </c>
      <c r="G119" s="1">
        <v>1.4</v>
      </c>
      <c r="H119" s="1">
        <v>0.3</v>
      </c>
      <c r="I119" s="1">
        <v>22.83</v>
      </c>
      <c r="J119" s="1">
        <v>4.77</v>
      </c>
      <c r="K119" s="1">
        <v>17.02</v>
      </c>
      <c r="L119" s="2">
        <f t="shared" si="21"/>
        <v>42</v>
      </c>
      <c r="M119" s="1">
        <v>1.4</v>
      </c>
      <c r="N119" s="1" t="s">
        <v>17</v>
      </c>
    </row>
    <row r="120">
      <c r="A120" s="1" t="s">
        <v>87</v>
      </c>
      <c r="B120" s="1" t="s">
        <v>89</v>
      </c>
      <c r="C120" s="1">
        <v>2014.0</v>
      </c>
      <c r="D120" s="1">
        <v>1.73</v>
      </c>
      <c r="E120" s="2">
        <f>100-39</f>
        <v>61</v>
      </c>
      <c r="F120" s="8">
        <v>7.9</v>
      </c>
      <c r="G120" s="1">
        <v>2.4</v>
      </c>
      <c r="H120" s="1">
        <v>3.3</v>
      </c>
      <c r="I120" s="1">
        <v>18.27</v>
      </c>
      <c r="J120" s="1">
        <v>1.2</v>
      </c>
      <c r="K120" s="1">
        <v>8.27</v>
      </c>
      <c r="L120" s="1">
        <v>3.0</v>
      </c>
      <c r="M120" s="1">
        <v>0.59</v>
      </c>
      <c r="N120" s="1" t="s">
        <v>19</v>
      </c>
    </row>
    <row r="121">
      <c r="A121" s="1" t="s">
        <v>87</v>
      </c>
      <c r="B121" s="1" t="s">
        <v>89</v>
      </c>
      <c r="C121" s="1">
        <v>2015.0</v>
      </c>
      <c r="D121" s="1">
        <v>1.92</v>
      </c>
      <c r="E121" s="1">
        <f>100-38</f>
        <v>62</v>
      </c>
      <c r="F121" s="8">
        <v>3.9</v>
      </c>
      <c r="G121" s="1">
        <v>1.4</v>
      </c>
      <c r="H121" s="1">
        <v>3.5</v>
      </c>
      <c r="I121" s="1">
        <v>18.52</v>
      </c>
      <c r="J121" s="1">
        <v>1.65</v>
      </c>
      <c r="K121" s="1">
        <v>17.1</v>
      </c>
      <c r="L121" s="2">
        <f t="shared" ref="L121:L130" si="23">L120+1</f>
        <v>4</v>
      </c>
      <c r="M121" s="1">
        <v>1.73</v>
      </c>
      <c r="N121" s="1" t="s">
        <v>19</v>
      </c>
    </row>
    <row r="122">
      <c r="A122" s="1" t="s">
        <v>87</v>
      </c>
      <c r="B122" s="1" t="s">
        <v>89</v>
      </c>
      <c r="C122" s="1">
        <v>2016.0</v>
      </c>
      <c r="D122" s="1">
        <v>0.96</v>
      </c>
      <c r="E122" s="2">
        <f>100-36</f>
        <v>64</v>
      </c>
      <c r="F122" s="8">
        <v>6.4</v>
      </c>
      <c r="G122" s="1">
        <v>0.8</v>
      </c>
      <c r="H122" s="1">
        <v>3.5</v>
      </c>
      <c r="I122" s="1">
        <v>18.96</v>
      </c>
      <c r="J122" s="1">
        <v>2.02</v>
      </c>
      <c r="K122" s="1">
        <v>19.26</v>
      </c>
      <c r="L122" s="2">
        <f t="shared" si="23"/>
        <v>5</v>
      </c>
      <c r="M122" s="1">
        <v>1.92</v>
      </c>
      <c r="N122" s="1" t="s">
        <v>19</v>
      </c>
    </row>
    <row r="123">
      <c r="A123" s="1" t="s">
        <v>87</v>
      </c>
      <c r="B123" s="1" t="s">
        <v>89</v>
      </c>
      <c r="C123" s="1">
        <v>2017.0</v>
      </c>
      <c r="D123" s="1">
        <v>4.24</v>
      </c>
      <c r="E123" s="2">
        <f>100-33</f>
        <v>67</v>
      </c>
      <c r="F123" s="8">
        <v>7.1</v>
      </c>
      <c r="G123" s="1">
        <v>2.3</v>
      </c>
      <c r="H123" s="1">
        <v>3.3</v>
      </c>
      <c r="I123" s="1">
        <v>18.7</v>
      </c>
      <c r="J123" s="1">
        <v>1.48</v>
      </c>
      <c r="K123" s="1">
        <v>14.52</v>
      </c>
      <c r="L123" s="2">
        <f t="shared" si="23"/>
        <v>6</v>
      </c>
      <c r="M123" s="1">
        <v>0.96</v>
      </c>
      <c r="N123" s="1" t="s">
        <v>19</v>
      </c>
    </row>
    <row r="124">
      <c r="A124" s="1" t="s">
        <v>87</v>
      </c>
      <c r="B124" s="1" t="s">
        <v>89</v>
      </c>
      <c r="C124" s="1">
        <v>2018.0</v>
      </c>
      <c r="D124" s="1">
        <v>2.5</v>
      </c>
      <c r="E124" s="2">
        <f>100-31</f>
        <v>69</v>
      </c>
      <c r="F124" s="8">
        <v>8.6</v>
      </c>
      <c r="G124" s="1">
        <v>1.4</v>
      </c>
      <c r="H124" s="1">
        <v>3.2</v>
      </c>
      <c r="I124" s="1">
        <v>12.74</v>
      </c>
      <c r="J124" s="1">
        <v>1.74</v>
      </c>
      <c r="K124" s="1">
        <v>16.45</v>
      </c>
      <c r="L124" s="2">
        <f t="shared" si="23"/>
        <v>7</v>
      </c>
      <c r="M124" s="1">
        <v>4.24</v>
      </c>
      <c r="N124" s="1" t="s">
        <v>19</v>
      </c>
    </row>
    <row r="125">
      <c r="A125" s="1" t="s">
        <v>87</v>
      </c>
      <c r="B125" s="1" t="s">
        <v>89</v>
      </c>
      <c r="C125" s="1">
        <v>2019.0</v>
      </c>
      <c r="D125" s="1">
        <v>2.71</v>
      </c>
      <c r="E125" s="2">
        <f>100-29</f>
        <v>71</v>
      </c>
      <c r="F125" s="8">
        <v>6.9</v>
      </c>
      <c r="G125" s="1">
        <v>1.3</v>
      </c>
      <c r="H125" s="1">
        <v>3.0</v>
      </c>
      <c r="I125" s="1">
        <v>19.27</v>
      </c>
      <c r="J125" s="1">
        <v>2.37</v>
      </c>
      <c r="K125" s="1">
        <v>18.44</v>
      </c>
      <c r="L125" s="2">
        <f t="shared" si="23"/>
        <v>8</v>
      </c>
      <c r="M125" s="1">
        <v>2.5</v>
      </c>
      <c r="N125" s="1" t="s">
        <v>19</v>
      </c>
    </row>
    <row r="126">
      <c r="A126" s="1" t="s">
        <v>87</v>
      </c>
      <c r="B126" s="1" t="s">
        <v>89</v>
      </c>
      <c r="C126" s="1">
        <v>2020.0</v>
      </c>
      <c r="D126" s="1">
        <v>4.97</v>
      </c>
      <c r="E126" s="2">
        <f>100-43</f>
        <v>57</v>
      </c>
      <c r="F126" s="8">
        <v>-32.9</v>
      </c>
      <c r="G126" s="1">
        <v>-1.6</v>
      </c>
      <c r="H126" s="1">
        <v>2.9</v>
      </c>
      <c r="I126" s="1">
        <v>19.47</v>
      </c>
      <c r="J126" s="1">
        <v>1.83</v>
      </c>
      <c r="K126" s="1">
        <v>12.7</v>
      </c>
      <c r="L126" s="2">
        <f t="shared" si="23"/>
        <v>9</v>
      </c>
      <c r="M126" s="1">
        <v>2.71</v>
      </c>
      <c r="N126" s="1" t="s">
        <v>19</v>
      </c>
    </row>
    <row r="127">
      <c r="A127" s="1" t="s">
        <v>87</v>
      </c>
      <c r="B127" s="1" t="s">
        <v>89</v>
      </c>
      <c r="C127" s="1">
        <v>2021.0</v>
      </c>
      <c r="D127" s="1">
        <v>7.1</v>
      </c>
      <c r="E127" s="2">
        <f t="shared" ref="E127:E128" si="24">100-40</f>
        <v>60</v>
      </c>
      <c r="F127" s="8">
        <v>37.5</v>
      </c>
      <c r="G127" s="1">
        <v>0.2</v>
      </c>
      <c r="H127" s="1">
        <v>2.8</v>
      </c>
      <c r="I127" s="1">
        <v>20.18</v>
      </c>
      <c r="J127" s="1">
        <v>1.6</v>
      </c>
      <c r="K127" s="1">
        <v>12.5</v>
      </c>
      <c r="L127" s="2">
        <f t="shared" si="23"/>
        <v>10</v>
      </c>
      <c r="M127" s="1">
        <v>4.97</v>
      </c>
      <c r="N127" s="1" t="s">
        <v>19</v>
      </c>
    </row>
    <row r="128">
      <c r="A128" s="1" t="s">
        <v>87</v>
      </c>
      <c r="B128" s="1" t="s">
        <v>89</v>
      </c>
      <c r="C128" s="1">
        <v>2022.0</v>
      </c>
      <c r="D128" s="1">
        <v>5.72</v>
      </c>
      <c r="E128" s="2">
        <f t="shared" si="24"/>
        <v>60</v>
      </c>
      <c r="F128" s="8">
        <v>13.8</v>
      </c>
      <c r="G128" s="1">
        <v>2.6</v>
      </c>
      <c r="H128" s="1">
        <v>1.5</v>
      </c>
      <c r="I128" s="1">
        <v>19.81</v>
      </c>
      <c r="J128" s="1">
        <v>2.07</v>
      </c>
      <c r="K128" s="1">
        <v>16.8</v>
      </c>
      <c r="L128" s="2">
        <f t="shared" si="23"/>
        <v>11</v>
      </c>
      <c r="M128" s="1">
        <v>7.1</v>
      </c>
      <c r="N128" s="1" t="s">
        <v>19</v>
      </c>
    </row>
    <row r="129">
      <c r="A129" s="1" t="s">
        <v>87</v>
      </c>
      <c r="B129" s="1" t="s">
        <v>89</v>
      </c>
      <c r="C129" s="1">
        <v>2023.0</v>
      </c>
      <c r="D129" s="1">
        <v>4.13</v>
      </c>
      <c r="E129" s="2">
        <f>100-39</f>
        <v>61</v>
      </c>
      <c r="F129" s="8">
        <v>4.7</v>
      </c>
      <c r="G129" s="1">
        <v>2.6</v>
      </c>
      <c r="H129" s="1">
        <v>0.4</v>
      </c>
      <c r="I129" s="1">
        <v>20.1</v>
      </c>
      <c r="J129" s="1">
        <v>2.45</v>
      </c>
      <c r="K129" s="1">
        <v>20.63</v>
      </c>
      <c r="L129" s="2">
        <f t="shared" si="23"/>
        <v>12</v>
      </c>
      <c r="M129" s="1">
        <v>5.72</v>
      </c>
      <c r="N129" s="1" t="s">
        <v>19</v>
      </c>
    </row>
    <row r="130">
      <c r="A130" s="1" t="s">
        <v>87</v>
      </c>
      <c r="B130" s="1" t="s">
        <v>89</v>
      </c>
      <c r="C130" s="1">
        <v>2024.0</v>
      </c>
      <c r="D130" s="1">
        <v>4.41</v>
      </c>
      <c r="E130" s="2">
        <f>100-38</f>
        <v>62</v>
      </c>
      <c r="F130" s="8">
        <v>5.1</v>
      </c>
      <c r="G130" s="1">
        <v>1.4</v>
      </c>
      <c r="H130" s="1">
        <v>0.3</v>
      </c>
      <c r="I130" s="1">
        <v>20.43</v>
      </c>
      <c r="J130" s="1">
        <v>2.82</v>
      </c>
      <c r="K130" s="1">
        <v>26.73</v>
      </c>
      <c r="L130" s="2">
        <f t="shared" si="23"/>
        <v>13</v>
      </c>
      <c r="M130" s="1">
        <v>4.13</v>
      </c>
      <c r="N130" s="1" t="s">
        <v>19</v>
      </c>
    </row>
    <row r="131">
      <c r="A131" s="1" t="s">
        <v>87</v>
      </c>
      <c r="B131" s="1" t="s">
        <v>90</v>
      </c>
      <c r="C131" s="1">
        <v>2014.0</v>
      </c>
      <c r="D131" s="1">
        <v>7.3</v>
      </c>
      <c r="E131" s="2">
        <f>100-39</f>
        <v>61</v>
      </c>
      <c r="F131" s="8">
        <v>7.9</v>
      </c>
      <c r="G131" s="1">
        <v>2.4</v>
      </c>
      <c r="H131" s="1">
        <v>3.3</v>
      </c>
      <c r="I131" s="1">
        <v>26.31</v>
      </c>
      <c r="J131" s="1">
        <v>1.9</v>
      </c>
      <c r="K131" s="1">
        <v>14.7</v>
      </c>
      <c r="L131" s="1">
        <v>6.0</v>
      </c>
      <c r="M131" s="1">
        <v>4.9</v>
      </c>
      <c r="N131" s="1" t="s">
        <v>19</v>
      </c>
    </row>
    <row r="132">
      <c r="A132" s="1" t="s">
        <v>87</v>
      </c>
      <c r="B132" s="1" t="s">
        <v>90</v>
      </c>
      <c r="C132" s="1">
        <v>2015.0</v>
      </c>
      <c r="D132" s="1">
        <v>6.2</v>
      </c>
      <c r="E132" s="1">
        <f>100-38</f>
        <v>62</v>
      </c>
      <c r="F132" s="8">
        <v>3.9</v>
      </c>
      <c r="G132" s="1">
        <v>1.4</v>
      </c>
      <c r="H132" s="1">
        <v>3.5</v>
      </c>
      <c r="I132" s="1">
        <v>26.36</v>
      </c>
      <c r="J132" s="1">
        <v>2.2</v>
      </c>
      <c r="K132" s="1">
        <v>17.1</v>
      </c>
      <c r="L132" s="2">
        <f t="shared" ref="L132:L141" si="25">L131+1</f>
        <v>7</v>
      </c>
      <c r="M132" s="1">
        <v>7.1</v>
      </c>
      <c r="N132" s="1" t="s">
        <v>19</v>
      </c>
    </row>
    <row r="133">
      <c r="A133" s="1" t="s">
        <v>87</v>
      </c>
      <c r="B133" s="1" t="s">
        <v>90</v>
      </c>
      <c r="C133" s="1">
        <v>2016.0</v>
      </c>
      <c r="D133" s="1">
        <v>5.9</v>
      </c>
      <c r="E133" s="2">
        <f>100-36</f>
        <v>64</v>
      </c>
      <c r="F133" s="8">
        <v>6.4</v>
      </c>
      <c r="G133" s="1">
        <v>0.8</v>
      </c>
      <c r="H133" s="1">
        <v>3.5</v>
      </c>
      <c r="I133" s="1">
        <v>9.07</v>
      </c>
      <c r="J133" s="1">
        <v>2.1</v>
      </c>
      <c r="K133" s="1">
        <v>17.8</v>
      </c>
      <c r="L133" s="2">
        <f t="shared" si="25"/>
        <v>8</v>
      </c>
      <c r="M133" s="1">
        <v>6.2</v>
      </c>
      <c r="N133" s="1" t="s">
        <v>19</v>
      </c>
    </row>
    <row r="134">
      <c r="A134" s="1" t="s">
        <v>87</v>
      </c>
      <c r="B134" s="1" t="s">
        <v>90</v>
      </c>
      <c r="C134" s="1">
        <v>2017.0</v>
      </c>
      <c r="D134" s="1">
        <v>5.8</v>
      </c>
      <c r="E134" s="2">
        <f>100-33</f>
        <v>67</v>
      </c>
      <c r="F134" s="8">
        <v>7.1</v>
      </c>
      <c r="G134" s="1">
        <v>2.3</v>
      </c>
      <c r="H134" s="1">
        <v>3.3</v>
      </c>
      <c r="I134" s="1">
        <v>12.97</v>
      </c>
      <c r="J134" s="1">
        <v>2.1</v>
      </c>
      <c r="K134" s="1">
        <v>17.8</v>
      </c>
      <c r="L134" s="2">
        <f t="shared" si="25"/>
        <v>9</v>
      </c>
      <c r="M134" s="1">
        <v>5.9</v>
      </c>
      <c r="N134" s="1" t="s">
        <v>19</v>
      </c>
    </row>
    <row r="135">
      <c r="A135" s="1" t="s">
        <v>87</v>
      </c>
      <c r="B135" s="1" t="s">
        <v>90</v>
      </c>
      <c r="C135" s="1">
        <v>2018.0</v>
      </c>
      <c r="D135" s="1">
        <v>4.1</v>
      </c>
      <c r="E135" s="2">
        <f>100-31</f>
        <v>69</v>
      </c>
      <c r="F135" s="8">
        <v>8.6</v>
      </c>
      <c r="G135" s="1">
        <v>1.4</v>
      </c>
      <c r="H135" s="1">
        <v>3.2</v>
      </c>
      <c r="I135" s="1">
        <v>13.0</v>
      </c>
      <c r="J135" s="1">
        <v>2.0</v>
      </c>
      <c r="K135" s="1">
        <v>17.2</v>
      </c>
      <c r="L135" s="2">
        <f t="shared" si="25"/>
        <v>10</v>
      </c>
      <c r="M135" s="1">
        <v>5.8</v>
      </c>
      <c r="N135" s="1" t="s">
        <v>19</v>
      </c>
    </row>
    <row r="136">
      <c r="A136" s="1" t="s">
        <v>87</v>
      </c>
      <c r="B136" s="1" t="s">
        <v>90</v>
      </c>
      <c r="C136" s="1">
        <v>2019.0</v>
      </c>
      <c r="D136" s="1">
        <v>3.8</v>
      </c>
      <c r="E136" s="2">
        <f>100-29</f>
        <v>71</v>
      </c>
      <c r="F136" s="8">
        <v>6.9</v>
      </c>
      <c r="G136" s="1">
        <v>1.3</v>
      </c>
      <c r="H136" s="1">
        <v>3.0</v>
      </c>
      <c r="I136" s="1">
        <v>23.27</v>
      </c>
      <c r="J136" s="1">
        <v>2.25</v>
      </c>
      <c r="K136" s="1">
        <v>19.0</v>
      </c>
      <c r="L136" s="2">
        <f t="shared" si="25"/>
        <v>11</v>
      </c>
      <c r="M136" s="1">
        <v>4.1</v>
      </c>
      <c r="N136" s="1" t="s">
        <v>19</v>
      </c>
    </row>
    <row r="137">
      <c r="A137" s="1" t="s">
        <v>87</v>
      </c>
      <c r="B137" s="1" t="s">
        <v>90</v>
      </c>
      <c r="C137" s="1">
        <v>2020.0</v>
      </c>
      <c r="D137" s="1">
        <v>3.8</v>
      </c>
      <c r="E137" s="2">
        <f>100-43</f>
        <v>57</v>
      </c>
      <c r="F137" s="8">
        <v>-32.9</v>
      </c>
      <c r="G137" s="1">
        <v>-1.6</v>
      </c>
      <c r="H137" s="1">
        <v>2.9</v>
      </c>
      <c r="I137" s="1">
        <v>23.28</v>
      </c>
      <c r="J137" s="1">
        <v>1.6</v>
      </c>
      <c r="K137" s="1">
        <v>14.6</v>
      </c>
      <c r="L137" s="2">
        <f t="shared" si="25"/>
        <v>12</v>
      </c>
      <c r="M137" s="1">
        <v>3.8</v>
      </c>
      <c r="N137" s="1" t="s">
        <v>19</v>
      </c>
    </row>
    <row r="138">
      <c r="A138" s="1" t="s">
        <v>87</v>
      </c>
      <c r="B138" s="1" t="s">
        <v>90</v>
      </c>
      <c r="C138" s="1">
        <v>2021.0</v>
      </c>
      <c r="D138" s="1">
        <v>3.2</v>
      </c>
      <c r="E138" s="2">
        <f t="shared" ref="E138:E139" si="26">100-40</f>
        <v>60</v>
      </c>
      <c r="F138" s="8">
        <v>37.5</v>
      </c>
      <c r="G138" s="1">
        <v>0.2</v>
      </c>
      <c r="H138" s="1">
        <v>2.8</v>
      </c>
      <c r="I138" s="1">
        <v>23.3</v>
      </c>
      <c r="J138" s="1">
        <v>1.3</v>
      </c>
      <c r="K138" s="1">
        <v>12.7</v>
      </c>
      <c r="L138" s="2">
        <f t="shared" si="25"/>
        <v>13</v>
      </c>
      <c r="M138" s="1">
        <v>3.8</v>
      </c>
      <c r="N138" s="1" t="s">
        <v>19</v>
      </c>
    </row>
    <row r="139">
      <c r="A139" s="1" t="s">
        <v>87</v>
      </c>
      <c r="B139" s="1" t="s">
        <v>90</v>
      </c>
      <c r="C139" s="1">
        <v>2022.0</v>
      </c>
      <c r="D139" s="1">
        <v>3.4</v>
      </c>
      <c r="E139" s="2">
        <f t="shared" si="26"/>
        <v>60</v>
      </c>
      <c r="F139" s="8">
        <v>13.8</v>
      </c>
      <c r="G139" s="1">
        <v>2.6</v>
      </c>
      <c r="H139" s="1">
        <v>1.5</v>
      </c>
      <c r="I139" s="1">
        <v>23.39</v>
      </c>
      <c r="J139" s="1">
        <v>1.4</v>
      </c>
      <c r="K139" s="1">
        <v>13.8</v>
      </c>
      <c r="L139" s="2">
        <f t="shared" si="25"/>
        <v>14</v>
      </c>
      <c r="M139" s="1">
        <v>3.2</v>
      </c>
      <c r="N139" s="1" t="s">
        <v>19</v>
      </c>
    </row>
    <row r="140">
      <c r="A140" s="1" t="s">
        <v>87</v>
      </c>
      <c r="B140" s="1" t="s">
        <v>90</v>
      </c>
      <c r="C140" s="1">
        <v>2023.0</v>
      </c>
      <c r="D140" s="1">
        <v>3.0</v>
      </c>
      <c r="E140" s="2">
        <f>100-39</f>
        <v>61</v>
      </c>
      <c r="F140" s="8">
        <v>4.7</v>
      </c>
      <c r="G140" s="1">
        <v>2.6</v>
      </c>
      <c r="H140" s="1">
        <v>0.4</v>
      </c>
      <c r="I140" s="1">
        <v>23.61</v>
      </c>
      <c r="J140" s="1">
        <v>1.8</v>
      </c>
      <c r="K140" s="1">
        <v>18.2</v>
      </c>
      <c r="L140" s="2">
        <f t="shared" si="25"/>
        <v>15</v>
      </c>
      <c r="M140" s="1">
        <v>3.4</v>
      </c>
      <c r="N140" s="1" t="s">
        <v>19</v>
      </c>
    </row>
    <row r="141">
      <c r="A141" s="1" t="s">
        <v>87</v>
      </c>
      <c r="B141" s="1" t="s">
        <v>90</v>
      </c>
      <c r="C141" s="1">
        <v>2024.0</v>
      </c>
      <c r="D141" s="1">
        <v>2.8</v>
      </c>
      <c r="E141" s="2">
        <f>100-38</f>
        <v>62</v>
      </c>
      <c r="F141" s="8">
        <v>5.1</v>
      </c>
      <c r="G141" s="1">
        <v>1.4</v>
      </c>
      <c r="H141" s="1">
        <v>0.3</v>
      </c>
      <c r="I141" s="1">
        <v>23.85</v>
      </c>
      <c r="J141" s="1">
        <v>1.9</v>
      </c>
      <c r="K141" s="1">
        <v>19.1</v>
      </c>
      <c r="L141" s="2">
        <f t="shared" si="25"/>
        <v>16</v>
      </c>
      <c r="M141" s="1">
        <v>3.0</v>
      </c>
      <c r="N141" s="1" t="s">
        <v>19</v>
      </c>
    </row>
    <row r="142">
      <c r="A142" s="1" t="s">
        <v>87</v>
      </c>
      <c r="B142" s="37" t="s">
        <v>91</v>
      </c>
      <c r="C142" s="1">
        <v>2014.0</v>
      </c>
      <c r="D142" s="1">
        <v>1.69</v>
      </c>
      <c r="E142" s="2">
        <f>100-39</f>
        <v>61</v>
      </c>
      <c r="F142" s="8">
        <v>7.9</v>
      </c>
      <c r="G142" s="1">
        <v>2.4</v>
      </c>
      <c r="H142" s="1">
        <v>3.3</v>
      </c>
      <c r="I142" s="1">
        <v>18.08</v>
      </c>
      <c r="J142" s="1">
        <v>5.29</v>
      </c>
      <c r="K142" s="1">
        <v>13.23</v>
      </c>
      <c r="L142" s="1">
        <v>10.0</v>
      </c>
      <c r="M142" s="1">
        <v>2.04</v>
      </c>
      <c r="N142" s="1" t="s">
        <v>17</v>
      </c>
    </row>
    <row r="143">
      <c r="A143" s="1" t="s">
        <v>87</v>
      </c>
      <c r="B143" s="38" t="s">
        <v>91</v>
      </c>
      <c r="C143" s="1">
        <v>2015.0</v>
      </c>
      <c r="D143" s="1">
        <v>2.07</v>
      </c>
      <c r="E143" s="1">
        <f>100-38</f>
        <v>62</v>
      </c>
      <c r="F143" s="8">
        <v>3.9</v>
      </c>
      <c r="G143" s="1">
        <v>1.4</v>
      </c>
      <c r="H143" s="1">
        <v>3.5</v>
      </c>
      <c r="I143" s="1">
        <v>18.2</v>
      </c>
      <c r="J143" s="1">
        <v>5.17</v>
      </c>
      <c r="K143" s="1">
        <v>13.61</v>
      </c>
      <c r="L143" s="2">
        <f t="shared" ref="L143:L152" si="27">L142+1</f>
        <v>11</v>
      </c>
      <c r="M143" s="1">
        <v>1.69</v>
      </c>
      <c r="N143" s="1" t="s">
        <v>17</v>
      </c>
    </row>
    <row r="144">
      <c r="A144" s="1" t="s">
        <v>87</v>
      </c>
      <c r="B144" s="38" t="s">
        <v>91</v>
      </c>
      <c r="C144" s="1">
        <v>2016.0</v>
      </c>
      <c r="D144" s="1">
        <v>0.7</v>
      </c>
      <c r="E144" s="2">
        <f>100-36</f>
        <v>64</v>
      </c>
      <c r="F144" s="8">
        <v>6.4</v>
      </c>
      <c r="G144" s="1">
        <v>0.8</v>
      </c>
      <c r="H144" s="1">
        <v>3.5</v>
      </c>
      <c r="I144" s="1">
        <v>18.29</v>
      </c>
      <c r="J144" s="1">
        <v>5.56</v>
      </c>
      <c r="K144" s="1">
        <v>15.67</v>
      </c>
      <c r="L144" s="2">
        <f t="shared" si="27"/>
        <v>12</v>
      </c>
      <c r="M144" s="1">
        <v>2.07</v>
      </c>
      <c r="N144" s="1" t="s">
        <v>17</v>
      </c>
    </row>
    <row r="145">
      <c r="A145" s="1" t="s">
        <v>87</v>
      </c>
      <c r="B145" s="38" t="s">
        <v>91</v>
      </c>
      <c r="C145" s="1">
        <v>2017.0</v>
      </c>
      <c r="D145" s="1">
        <v>1.5</v>
      </c>
      <c r="E145" s="2">
        <f>100-33</f>
        <v>67</v>
      </c>
      <c r="F145" s="8">
        <v>7.1</v>
      </c>
      <c r="G145" s="1">
        <v>2.3</v>
      </c>
      <c r="H145" s="1">
        <v>3.3</v>
      </c>
      <c r="I145" s="1">
        <v>18.45</v>
      </c>
      <c r="J145" s="1">
        <v>5.5</v>
      </c>
      <c r="K145" s="1">
        <v>16.54</v>
      </c>
      <c r="L145" s="2">
        <f t="shared" si="27"/>
        <v>13</v>
      </c>
      <c r="M145" s="1">
        <v>0.7</v>
      </c>
      <c r="N145" s="1" t="s">
        <v>17</v>
      </c>
    </row>
    <row r="146">
      <c r="A146" s="1" t="s">
        <v>87</v>
      </c>
      <c r="B146" s="38" t="s">
        <v>91</v>
      </c>
      <c r="C146" s="1">
        <v>2018.0</v>
      </c>
      <c r="D146" s="1">
        <v>3.29</v>
      </c>
      <c r="E146" s="2">
        <f>100-31</f>
        <v>69</v>
      </c>
      <c r="F146" s="8">
        <v>8.6</v>
      </c>
      <c r="G146" s="1">
        <v>1.4</v>
      </c>
      <c r="H146" s="1">
        <v>3.2</v>
      </c>
      <c r="I146" s="1">
        <v>18.04</v>
      </c>
      <c r="J146" s="1">
        <v>5.92</v>
      </c>
      <c r="K146" s="1">
        <v>20.24</v>
      </c>
      <c r="L146" s="2">
        <f t="shared" si="27"/>
        <v>14</v>
      </c>
      <c r="M146" s="1">
        <v>1.5</v>
      </c>
      <c r="N146" s="1" t="s">
        <v>17</v>
      </c>
    </row>
    <row r="147">
      <c r="A147" s="1" t="s">
        <v>87</v>
      </c>
      <c r="B147" s="38" t="s">
        <v>91</v>
      </c>
      <c r="C147" s="1">
        <v>2019.0</v>
      </c>
      <c r="D147" s="1">
        <v>1.54</v>
      </c>
      <c r="E147" s="2">
        <f>100-29</f>
        <v>71</v>
      </c>
      <c r="F147" s="8">
        <v>6.9</v>
      </c>
      <c r="G147" s="1">
        <v>1.3</v>
      </c>
      <c r="H147" s="1">
        <v>3.0</v>
      </c>
      <c r="I147" s="1">
        <v>18.77</v>
      </c>
      <c r="J147" s="1">
        <v>4.63</v>
      </c>
      <c r="K147" s="1">
        <v>16.89</v>
      </c>
      <c r="L147" s="2">
        <f t="shared" si="27"/>
        <v>15</v>
      </c>
      <c r="M147" s="1">
        <v>3.29</v>
      </c>
      <c r="N147" s="1" t="s">
        <v>17</v>
      </c>
    </row>
    <row r="148">
      <c r="A148" s="1" t="s">
        <v>87</v>
      </c>
      <c r="B148" s="38" t="s">
        <v>91</v>
      </c>
      <c r="C148" s="1">
        <v>2020.0</v>
      </c>
      <c r="D148" s="1">
        <v>3.09</v>
      </c>
      <c r="E148" s="1">
        <v>57.0</v>
      </c>
      <c r="F148" s="8">
        <v>-32.9</v>
      </c>
      <c r="G148" s="1">
        <v>-1.6</v>
      </c>
      <c r="H148" s="1">
        <v>2.9</v>
      </c>
      <c r="I148" s="1">
        <v>18.72</v>
      </c>
      <c r="J148" s="1">
        <v>4.46</v>
      </c>
      <c r="K148" s="1">
        <v>15.61</v>
      </c>
      <c r="L148" s="2">
        <f t="shared" si="27"/>
        <v>16</v>
      </c>
      <c r="M148" s="1">
        <v>1.54</v>
      </c>
      <c r="N148" s="1" t="s">
        <v>17</v>
      </c>
    </row>
    <row r="149">
      <c r="A149" s="1" t="s">
        <v>87</v>
      </c>
      <c r="B149" s="38" t="s">
        <v>91</v>
      </c>
      <c r="C149" s="1">
        <v>2021.0</v>
      </c>
      <c r="D149" s="1">
        <v>4.72</v>
      </c>
      <c r="E149" s="2">
        <f t="shared" ref="E149:E150" si="28">100-40</f>
        <v>60</v>
      </c>
      <c r="F149" s="8">
        <v>37.5</v>
      </c>
      <c r="G149" s="1">
        <v>0.2</v>
      </c>
      <c r="H149" s="1">
        <v>2.8</v>
      </c>
      <c r="I149" s="1">
        <v>18.85</v>
      </c>
      <c r="J149" s="1">
        <v>4.57</v>
      </c>
      <c r="K149" s="1">
        <v>14.75</v>
      </c>
      <c r="L149" s="2">
        <f t="shared" si="27"/>
        <v>17</v>
      </c>
      <c r="M149" s="1">
        <v>3.09</v>
      </c>
      <c r="N149" s="1" t="s">
        <v>17</v>
      </c>
    </row>
    <row r="150">
      <c r="A150" s="1" t="s">
        <v>87</v>
      </c>
      <c r="B150" s="38" t="s">
        <v>91</v>
      </c>
      <c r="C150" s="1">
        <v>2022.0</v>
      </c>
      <c r="D150" s="1">
        <v>6.0</v>
      </c>
      <c r="E150" s="2">
        <f t="shared" si="28"/>
        <v>60</v>
      </c>
      <c r="F150" s="8">
        <v>13.8</v>
      </c>
      <c r="G150" s="1">
        <v>2.6</v>
      </c>
      <c r="H150" s="1">
        <v>1.5</v>
      </c>
      <c r="I150" s="1">
        <v>19.01</v>
      </c>
      <c r="J150" s="1">
        <v>4.52</v>
      </c>
      <c r="K150" s="1">
        <v>14.55</v>
      </c>
      <c r="L150" s="2">
        <f t="shared" si="27"/>
        <v>18</v>
      </c>
      <c r="M150" s="1">
        <v>4.72</v>
      </c>
      <c r="N150" s="1" t="s">
        <v>17</v>
      </c>
    </row>
    <row r="151">
      <c r="A151" s="1" t="s">
        <v>87</v>
      </c>
      <c r="B151" s="38" t="s">
        <v>91</v>
      </c>
      <c r="C151" s="1">
        <v>2023.0</v>
      </c>
      <c r="D151" s="1">
        <v>3.79</v>
      </c>
      <c r="E151" s="2">
        <f>100-39</f>
        <v>61</v>
      </c>
      <c r="F151" s="8">
        <v>4.7</v>
      </c>
      <c r="G151" s="1">
        <v>2.6</v>
      </c>
      <c r="H151" s="1">
        <v>0.4</v>
      </c>
      <c r="I151" s="1">
        <v>18.78</v>
      </c>
      <c r="J151" s="1">
        <v>3.82</v>
      </c>
      <c r="K151" s="1">
        <v>18.87</v>
      </c>
      <c r="L151" s="2">
        <f t="shared" si="27"/>
        <v>19</v>
      </c>
      <c r="M151" s="1">
        <v>6.0</v>
      </c>
      <c r="N151" s="1" t="s">
        <v>17</v>
      </c>
    </row>
    <row r="152">
      <c r="A152" s="1" t="s">
        <v>87</v>
      </c>
      <c r="B152" s="38" t="s">
        <v>91</v>
      </c>
      <c r="C152" s="1">
        <v>2024.0</v>
      </c>
      <c r="D152" s="1">
        <v>3.0</v>
      </c>
      <c r="E152" s="2">
        <f>100-38</f>
        <v>62</v>
      </c>
      <c r="F152" s="8">
        <v>5.1</v>
      </c>
      <c r="G152" s="1">
        <v>1.4</v>
      </c>
      <c r="H152" s="1">
        <v>0.3</v>
      </c>
      <c r="I152" s="1">
        <v>18.79</v>
      </c>
      <c r="J152" s="1">
        <v>4.57</v>
      </c>
      <c r="K152" s="1">
        <v>11.49</v>
      </c>
      <c r="L152" s="2">
        <f t="shared" si="27"/>
        <v>20</v>
      </c>
      <c r="M152" s="1">
        <v>3.79</v>
      </c>
      <c r="N152" s="1" t="s">
        <v>17</v>
      </c>
    </row>
    <row r="153">
      <c r="A153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41.0"/>
    <col customWidth="1" min="3" max="3" width="47.13"/>
  </cols>
  <sheetData>
    <row r="1">
      <c r="A1" s="39" t="s">
        <v>92</v>
      </c>
      <c r="B1" s="40" t="s">
        <v>93</v>
      </c>
      <c r="C1" s="41" t="s">
        <v>94</v>
      </c>
    </row>
    <row r="2">
      <c r="A2" s="2" t="s">
        <v>3</v>
      </c>
      <c r="B2" s="2" t="s">
        <v>95</v>
      </c>
      <c r="C2" s="2" t="s">
        <v>96</v>
      </c>
    </row>
    <row r="3">
      <c r="A3" s="2" t="s">
        <v>4</v>
      </c>
      <c r="B3" s="2" t="s">
        <v>97</v>
      </c>
      <c r="C3" s="2" t="s">
        <v>98</v>
      </c>
    </row>
    <row r="4">
      <c r="A4" s="2" t="s">
        <v>5</v>
      </c>
      <c r="B4" s="2" t="s">
        <v>99</v>
      </c>
      <c r="C4" s="2" t="s">
        <v>100</v>
      </c>
    </row>
    <row r="5">
      <c r="A5" s="2" t="s">
        <v>6</v>
      </c>
      <c r="B5" s="2" t="s">
        <v>101</v>
      </c>
      <c r="C5" s="2" t="s">
        <v>102</v>
      </c>
    </row>
    <row r="6">
      <c r="A6" s="2" t="s">
        <v>7</v>
      </c>
      <c r="B6" s="2" t="s">
        <v>99</v>
      </c>
      <c r="C6" s="2" t="s">
        <v>103</v>
      </c>
    </row>
    <row r="7">
      <c r="A7" s="2" t="s">
        <v>8</v>
      </c>
      <c r="B7" s="2" t="s">
        <v>104</v>
      </c>
      <c r="C7" s="2" t="s">
        <v>96</v>
      </c>
    </row>
    <row r="8">
      <c r="A8" s="1" t="s">
        <v>9</v>
      </c>
      <c r="B8" s="1" t="s">
        <v>105</v>
      </c>
      <c r="C8" s="2" t="s">
        <v>96</v>
      </c>
    </row>
    <row r="9">
      <c r="A9" s="1" t="s">
        <v>10</v>
      </c>
      <c r="B9" s="1" t="s">
        <v>106</v>
      </c>
      <c r="C9" s="2" t="s">
        <v>96</v>
      </c>
    </row>
    <row r="10">
      <c r="A10" s="2" t="s">
        <v>11</v>
      </c>
      <c r="B10" s="2" t="s">
        <v>107</v>
      </c>
      <c r="C10" s="2" t="s">
        <v>108</v>
      </c>
    </row>
    <row r="11">
      <c r="A11" s="2" t="s">
        <v>12</v>
      </c>
      <c r="B11" s="2" t="s">
        <v>109</v>
      </c>
      <c r="C11" s="2" t="s">
        <v>110</v>
      </c>
    </row>
    <row r="12">
      <c r="A12" s="1" t="s">
        <v>13</v>
      </c>
      <c r="B12" s="1" t="s">
        <v>111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3.0"/>
    <col customWidth="1" min="3" max="3" width="37.13"/>
    <col customWidth="1" min="4" max="4" width="21.0"/>
  </cols>
  <sheetData>
    <row r="1">
      <c r="A1" s="42" t="s">
        <v>112</v>
      </c>
      <c r="B1" s="42" t="s">
        <v>113</v>
      </c>
      <c r="C1" s="42" t="s">
        <v>114</v>
      </c>
      <c r="D1" s="42" t="s">
        <v>115</v>
      </c>
    </row>
    <row r="2">
      <c r="A2" s="1" t="s">
        <v>116</v>
      </c>
      <c r="B2" s="1" t="s">
        <v>3</v>
      </c>
      <c r="C2" s="1" t="s">
        <v>117</v>
      </c>
      <c r="D2" s="1" t="s">
        <v>118</v>
      </c>
    </row>
    <row r="3">
      <c r="A3" s="1" t="s">
        <v>119</v>
      </c>
      <c r="B3" s="1" t="s">
        <v>4</v>
      </c>
      <c r="C3" s="1" t="s">
        <v>120</v>
      </c>
      <c r="D3" s="1" t="s">
        <v>121</v>
      </c>
    </row>
    <row r="4">
      <c r="A4" s="43" t="s">
        <v>122</v>
      </c>
      <c r="B4" s="1" t="s">
        <v>5</v>
      </c>
      <c r="C4" s="1" t="s">
        <v>123</v>
      </c>
      <c r="D4" s="1" t="s">
        <v>103</v>
      </c>
    </row>
    <row r="5">
      <c r="B5" s="1" t="s">
        <v>6</v>
      </c>
      <c r="C5" s="1" t="s">
        <v>124</v>
      </c>
      <c r="D5" s="1" t="s">
        <v>103</v>
      </c>
    </row>
    <row r="6">
      <c r="B6" s="1" t="s">
        <v>125</v>
      </c>
      <c r="C6" s="1" t="s">
        <v>126</v>
      </c>
      <c r="D6" s="1" t="s">
        <v>103</v>
      </c>
    </row>
    <row r="7">
      <c r="A7" s="44" t="s">
        <v>127</v>
      </c>
      <c r="B7" s="1" t="s">
        <v>8</v>
      </c>
      <c r="C7" s="1" t="s">
        <v>128</v>
      </c>
      <c r="D7" s="1" t="s">
        <v>103</v>
      </c>
    </row>
    <row r="8">
      <c r="B8" s="1" t="s">
        <v>129</v>
      </c>
      <c r="C8" s="1" t="s">
        <v>130</v>
      </c>
      <c r="D8" s="1" t="s">
        <v>103</v>
      </c>
    </row>
    <row r="9">
      <c r="B9" s="1" t="s">
        <v>131</v>
      </c>
      <c r="C9" s="1" t="s">
        <v>132</v>
      </c>
      <c r="D9" s="1" t="s">
        <v>103</v>
      </c>
    </row>
    <row r="10">
      <c r="B10" s="1" t="s">
        <v>11</v>
      </c>
      <c r="C10" s="1" t="s">
        <v>133</v>
      </c>
      <c r="D10" s="1" t="s">
        <v>134</v>
      </c>
    </row>
    <row r="11">
      <c r="B11" s="1" t="s">
        <v>12</v>
      </c>
      <c r="C11" s="1" t="s">
        <v>135</v>
      </c>
      <c r="D11" s="1" t="s">
        <v>118</v>
      </c>
    </row>
  </sheetData>
  <mergeCells count="2">
    <mergeCell ref="A4:A6"/>
    <mergeCell ref="A7:A11"/>
  </mergeCells>
  <drawing r:id="rId1"/>
</worksheet>
</file>